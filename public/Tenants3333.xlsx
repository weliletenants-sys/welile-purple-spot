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RED" sheetId="1" r:id="rId4"/>
    <sheet state="visible" name="All tenants" sheetId="2" r:id="rId5"/>
    <sheet state="visible" name="Sheet30" sheetId="3" r:id="rId6"/>
    <sheet state="visible" name="Sheet22" sheetId="4" r:id="rId7"/>
    <sheet state="visible" name="Recovered" sheetId="5" r:id="rId8"/>
    <sheet state="visible" name="actnew" sheetId="6" r:id="rId9"/>
    <sheet state="visible" name="Sheet43" sheetId="7" r:id="rId10"/>
    <sheet state="visible" name="Sheet37" sheetId="8" r:id="rId11"/>
    <sheet state="visible" name="TARGET" sheetId="9" r:id="rId12"/>
    <sheet state="visible" name="New Agreement" sheetId="10" r:id="rId13"/>
    <sheet state="visible" name="Rejected " sheetId="11" r:id="rId14"/>
    <sheet state="visible" name="Tenants" sheetId="12" r:id="rId15"/>
    <sheet state="visible" name="Tenants 2" sheetId="13" r:id="rId16"/>
  </sheets>
  <definedNames>
    <definedName hidden="1" localSheetId="1" name="_xlnm._FilterDatabase">'All tenants'!$A$1:$U$305</definedName>
    <definedName hidden="1" localSheetId="5" name="_xlnm._FilterDatabase">actnew!$A$1:$J$101</definedName>
    <definedName hidden="1" localSheetId="10" name="_xlnm._FilterDatabase">'Rejected '!$A$1:$AB$88</definedName>
  </definedNames>
  <calcPr/>
</workbook>
</file>

<file path=xl/sharedStrings.xml><?xml version="1.0" encoding="utf-8"?>
<sst xmlns="http://schemas.openxmlformats.org/spreadsheetml/2006/main" count="6849" uniqueCount="3217">
  <si>
    <t>Contact</t>
  </si>
  <si>
    <t>Landload Details</t>
  </si>
  <si>
    <t>Address</t>
  </si>
  <si>
    <t>Namyenya Winnie</t>
  </si>
  <si>
    <t>Justine</t>
  </si>
  <si>
    <t>Nakiwogo</t>
  </si>
  <si>
    <t>Namakula Sophie</t>
  </si>
  <si>
    <t>Seruma Julius</t>
  </si>
  <si>
    <t>Baita</t>
  </si>
  <si>
    <t>Namugenyi Juliet</t>
  </si>
  <si>
    <t>Mukwanga Saddick</t>
  </si>
  <si>
    <t>Bugabo</t>
  </si>
  <si>
    <t>Nantume Sophia</t>
  </si>
  <si>
    <t>Mariam Nalweyiso</t>
  </si>
  <si>
    <t>Tuhirirwe Regina</t>
  </si>
  <si>
    <t>Adellah Twikirize</t>
  </si>
  <si>
    <t>Kasenyi</t>
  </si>
  <si>
    <t>Nanyondo Justine</t>
  </si>
  <si>
    <t>Mwanje Henry</t>
  </si>
  <si>
    <t>Ssekiziyivu Ronald</t>
  </si>
  <si>
    <t>kawafu</t>
  </si>
  <si>
    <t>Kayanja Hellen</t>
  </si>
  <si>
    <t>Ngobi</t>
  </si>
  <si>
    <t>Kigungu</t>
  </si>
  <si>
    <t>Nakakande Monica</t>
  </si>
  <si>
    <t>Nabuuma Solome</t>
  </si>
  <si>
    <t>Kitala</t>
  </si>
  <si>
    <t>Nalunkuma Justin</t>
  </si>
  <si>
    <t>Nabosa Scovia</t>
  </si>
  <si>
    <t>Najjingo Aisha</t>
  </si>
  <si>
    <t>Mukisa Faith</t>
  </si>
  <si>
    <t>Kasimaggwa Jamil Muhammad</t>
  </si>
  <si>
    <t>Allan Sentongo</t>
  </si>
  <si>
    <t>Mwanje Ibra</t>
  </si>
  <si>
    <t>Kisubi Diana</t>
  </si>
  <si>
    <t>Nalubega Peninah</t>
  </si>
  <si>
    <t>Nakazibwe Betty</t>
  </si>
  <si>
    <t>Nakiyana Scovia</t>
  </si>
  <si>
    <t>Kabuga Brian</t>
  </si>
  <si>
    <t>Nanteza Joyce</t>
  </si>
  <si>
    <t>Nabuumba Solome</t>
  </si>
  <si>
    <t>Balikanda Andrew</t>
  </si>
  <si>
    <t>Richard Kawungu</t>
  </si>
  <si>
    <t>Catherine Joyce Aneno</t>
  </si>
  <si>
    <t>Nakachwa Elizabeth</t>
  </si>
  <si>
    <t>Kitubulu</t>
  </si>
  <si>
    <t>Nalumu Zaituni</t>
  </si>
  <si>
    <t>Aneno Beatrice</t>
  </si>
  <si>
    <t>Bogere Zakaliya</t>
  </si>
  <si>
    <t>Mugulumu</t>
  </si>
  <si>
    <t>Kyaterekera Tom</t>
  </si>
  <si>
    <t>Papa Halima</t>
  </si>
  <si>
    <t>Nagawa Jollin</t>
  </si>
  <si>
    <t>Kempisi Zubeda</t>
  </si>
  <si>
    <t>Kiwafu</t>
  </si>
  <si>
    <t>Nabasumba Juliet</t>
  </si>
  <si>
    <t>Nabihogo Oliver</t>
  </si>
  <si>
    <t>Lugonjo</t>
  </si>
  <si>
    <t>Kiyingi Abdul</t>
  </si>
  <si>
    <t>Lubega Shafic</t>
  </si>
  <si>
    <t>Lyamutundwe</t>
  </si>
  <si>
    <t>Juuko Paul</t>
  </si>
  <si>
    <t>Ndagire Sumayiyah Bilali</t>
  </si>
  <si>
    <t xml:space="preserve">Najjuma Sharifah </t>
  </si>
  <si>
    <t>Makindye</t>
  </si>
  <si>
    <t>Irachan Pia</t>
  </si>
  <si>
    <t>07576769452 /07841722</t>
  </si>
  <si>
    <t>Ogine Mungu</t>
  </si>
  <si>
    <t>Manyango</t>
  </si>
  <si>
    <t>Lukwago Ibrahim</t>
  </si>
  <si>
    <t>Mumbeja</t>
  </si>
  <si>
    <t>Mpala</t>
  </si>
  <si>
    <t>Mwesigye Peter</t>
  </si>
  <si>
    <t>Kafuuma Jack</t>
  </si>
  <si>
    <t>Dafin Nayebare</t>
  </si>
  <si>
    <t>Salongo Kate</t>
  </si>
  <si>
    <t>Shallot Amutuhaire</t>
  </si>
  <si>
    <t>Nakabugo Florence</t>
  </si>
  <si>
    <t>Higenyi Robert</t>
  </si>
  <si>
    <t>0703458843/0780481246</t>
  </si>
  <si>
    <t>Migadde Simon</t>
  </si>
  <si>
    <t>Nakanwagi Lydia</t>
  </si>
  <si>
    <t>Nabulya Irene</t>
  </si>
  <si>
    <t>Nkumba</t>
  </si>
  <si>
    <t>Asiimwe Alex</t>
  </si>
  <si>
    <t>Miiro Prossy</t>
  </si>
  <si>
    <t>Awulila Patience</t>
  </si>
  <si>
    <t xml:space="preserve">Naluwugge Juliet </t>
  </si>
  <si>
    <t>Kusaba Sylvia</t>
  </si>
  <si>
    <t>NAME</t>
  </si>
  <si>
    <t>Rent Amount</t>
  </si>
  <si>
    <t>Days to Pay</t>
  </si>
  <si>
    <t>Rent Fees</t>
  </si>
  <si>
    <t>Total</t>
  </si>
  <si>
    <t>Daily Repayment</t>
  </si>
  <si>
    <t>Start Date</t>
  </si>
  <si>
    <t>Overdue Date</t>
  </si>
  <si>
    <t>Status</t>
  </si>
  <si>
    <t>Abiro Hasfah</t>
  </si>
  <si>
    <t>Jamal</t>
  </si>
  <si>
    <t>Aciro Rose</t>
  </si>
  <si>
    <t>Oyam Derrick</t>
  </si>
  <si>
    <t>Ahimbisibwe Ronald</t>
  </si>
  <si>
    <t>Hope Bainimugasho</t>
  </si>
  <si>
    <t>Aida Naigaga</t>
  </si>
  <si>
    <t>Kasozi Edward</t>
  </si>
  <si>
    <t>Ainemukama Micheal</t>
  </si>
  <si>
    <t>Rose Bogere</t>
  </si>
  <si>
    <t>Aisha Pauline</t>
  </si>
  <si>
    <t>Albert Mapendi</t>
  </si>
  <si>
    <t>Akumu Margret</t>
  </si>
  <si>
    <t>Lubanga</t>
  </si>
  <si>
    <t>Alinitwe Aisha</t>
  </si>
  <si>
    <t>Twinamatsiko</t>
  </si>
  <si>
    <t>Katabi</t>
  </si>
  <si>
    <t>Aminah Namatovu</t>
  </si>
  <si>
    <t>Lumala Gayita</t>
  </si>
  <si>
    <t>Arachi Onziru</t>
  </si>
  <si>
    <t>Salama Ali</t>
  </si>
  <si>
    <t>28-sept-25</t>
  </si>
  <si>
    <t>Cleared</t>
  </si>
  <si>
    <t>Asiimwe Gloria</t>
  </si>
  <si>
    <t>Reacheal Katushabe Mbabazi</t>
  </si>
  <si>
    <t>kitala</t>
  </si>
  <si>
    <t>Asiimwe Specioza</t>
  </si>
  <si>
    <t>Atugumize Joseph</t>
  </si>
  <si>
    <t>Kibilige Joshua</t>
  </si>
  <si>
    <t>Babirye Annet</t>
  </si>
  <si>
    <t>Kawuku</t>
  </si>
  <si>
    <t>Babirye Sanitah</t>
  </si>
  <si>
    <t>Nampela Zaharah</t>
  </si>
  <si>
    <t>Nyanama</t>
  </si>
  <si>
    <t xml:space="preserve">     </t>
  </si>
  <si>
    <t>Bayo Mercy</t>
  </si>
  <si>
    <t>Besigye Norman Kakuru</t>
  </si>
  <si>
    <t>0781974026 /0707412371</t>
  </si>
  <si>
    <t>Kadoozi Patrick</t>
  </si>
  <si>
    <t>0779021740 /0779021740</t>
  </si>
  <si>
    <t>Kabona</t>
  </si>
  <si>
    <t>Birabwa Suzan</t>
  </si>
  <si>
    <t>Christine</t>
  </si>
  <si>
    <t>Birungi Joan</t>
  </si>
  <si>
    <t>Ziriyo Fred</t>
  </si>
  <si>
    <t>Nalugala</t>
  </si>
  <si>
    <t>Birungi Ramlah</t>
  </si>
  <si>
    <t>Nankabirwa America</t>
  </si>
  <si>
    <t>Blessing Masiko</t>
  </si>
  <si>
    <t>Jimmy Muganzi</t>
  </si>
  <si>
    <t>5/15/1015</t>
  </si>
  <si>
    <t>Bujjuza Jane</t>
  </si>
  <si>
    <t>Muyanja Denis</t>
  </si>
  <si>
    <t>Zana</t>
  </si>
  <si>
    <t>Bukenya Fahad</t>
  </si>
  <si>
    <t>Rogers Atumanya</t>
  </si>
  <si>
    <t>Bulungu John</t>
  </si>
  <si>
    <t xml:space="preserve">Kamukama </t>
  </si>
  <si>
    <t>0757703236/0761874074</t>
  </si>
  <si>
    <t>Buwembo Samuel</t>
  </si>
  <si>
    <t>Nabusinde Allen</t>
  </si>
  <si>
    <t>Chandiru Aisha</t>
  </si>
  <si>
    <t>Shamila Isma</t>
  </si>
  <si>
    <t>Chandiru Fatuma</t>
  </si>
  <si>
    <t>Driciru Jennifer</t>
  </si>
  <si>
    <t>0703556014 / 0788418536</t>
  </si>
  <si>
    <t>Ddungu Shadiah</t>
  </si>
  <si>
    <t>Babirye Phoebe</t>
  </si>
  <si>
    <t>Dirisa Kyeyune</t>
  </si>
  <si>
    <t>Senkungu Isma</t>
  </si>
  <si>
    <t>Eddyson Kintu</t>
  </si>
  <si>
    <t>Edema Fadili</t>
  </si>
  <si>
    <t>Fazili Osuru</t>
  </si>
  <si>
    <t>Etiono Daniel Okiror</t>
  </si>
  <si>
    <t>Ntale property Agents</t>
  </si>
  <si>
    <t>Fashan Paska Rebecca</t>
  </si>
  <si>
    <t>0780362967/0753064129</t>
  </si>
  <si>
    <t>Tumwebaze Barbara</t>
  </si>
  <si>
    <t>Foska Owachila</t>
  </si>
  <si>
    <t>Ruth Ndagire</t>
  </si>
  <si>
    <t>Genza Edward</t>
  </si>
  <si>
    <t>Abongi Joseph</t>
  </si>
  <si>
    <t>Gertrude Najjemba</t>
  </si>
  <si>
    <t>0781681632/0755459196</t>
  </si>
  <si>
    <t>Bukaya</t>
  </si>
  <si>
    <t>Hassan Hussein</t>
  </si>
  <si>
    <t>Nanteza Fauziah</t>
  </si>
  <si>
    <t>Husna Ibrahim</t>
  </si>
  <si>
    <t>Kamwanamwana Gumikiriza</t>
  </si>
  <si>
    <t>Ikomba Jude</t>
  </si>
  <si>
    <t>Nayigaga Habibah</t>
  </si>
  <si>
    <t xml:space="preserve">Katabi </t>
  </si>
  <si>
    <t>Immaculate Nakawoya</t>
  </si>
  <si>
    <t>Sekibengo Jackson</t>
  </si>
  <si>
    <t>Inokoriah Elizabeth</t>
  </si>
  <si>
    <t>0761755964/0758661848</t>
  </si>
  <si>
    <t>Aine Ivan</t>
  </si>
  <si>
    <t>Ismail Asuman</t>
  </si>
  <si>
    <t>0755585632 /700193207</t>
  </si>
  <si>
    <t>Ssentuwa Ronald</t>
  </si>
  <si>
    <t>Mayanzi</t>
  </si>
  <si>
    <t>Ismail Matovu</t>
  </si>
  <si>
    <t>Tumukunde Sulait</t>
  </si>
  <si>
    <t>Jackie Apoko</t>
  </si>
  <si>
    <t>Tumwesige Pulinali</t>
  </si>
  <si>
    <t>0742207007 /0762672057</t>
  </si>
  <si>
    <t>John Turahe</t>
  </si>
  <si>
    <t>Chrstine Mbabazi</t>
  </si>
  <si>
    <t>Josephine Namutebi</t>
  </si>
  <si>
    <t>Balyegisawa</t>
  </si>
  <si>
    <t>0704353485/0772046846</t>
  </si>
  <si>
    <t>Judith Abalo</t>
  </si>
  <si>
    <t>Aliga</t>
  </si>
  <si>
    <t>Kabiito Shafik</t>
  </si>
  <si>
    <t>Bukenya Yaseen</t>
  </si>
  <si>
    <t>Kabonge Rashid</t>
  </si>
  <si>
    <t>Okot Tom</t>
  </si>
  <si>
    <t>Kagwa Pasto</t>
  </si>
  <si>
    <t>Nanfuka Esther</t>
  </si>
  <si>
    <t>Bukande kande</t>
  </si>
  <si>
    <t>Kakembo Daniel</t>
  </si>
  <si>
    <t>Nsubuga Douglas</t>
  </si>
  <si>
    <t>Kakooza Henry</t>
  </si>
  <si>
    <t>Kakuru Sandra</t>
  </si>
  <si>
    <t>Nakanwagi Mariam</t>
  </si>
  <si>
    <t>Kamaliza Suzan</t>
  </si>
  <si>
    <t>Abdul Hassan</t>
  </si>
  <si>
    <t>Kamanya Elvis</t>
  </si>
  <si>
    <t>Kiziba</t>
  </si>
  <si>
    <t>Kameza Maria</t>
  </si>
  <si>
    <t>Kanyesiga Benefa</t>
  </si>
  <si>
    <t>Mugisha George Willy</t>
  </si>
  <si>
    <t>Karuhanga Wilson</t>
  </si>
  <si>
    <t>0781269387/0700738735</t>
  </si>
  <si>
    <t>Katungye Apollo</t>
  </si>
  <si>
    <t>Kasibante Brian</t>
  </si>
  <si>
    <t>Kabale</t>
  </si>
  <si>
    <t>Kasule Alex</t>
  </si>
  <si>
    <t>Mpoza Lawrence</t>
  </si>
  <si>
    <t>Kasule Allen</t>
  </si>
  <si>
    <t>Zacharias Mafabi</t>
  </si>
  <si>
    <t>0786086570/0740901068</t>
  </si>
  <si>
    <t>Kasule Denis</t>
  </si>
  <si>
    <t>Kimera Abdul</t>
  </si>
  <si>
    <t>Kato Sulait</t>
  </si>
  <si>
    <t>Talemwa Didas</t>
  </si>
  <si>
    <t>Katumba Ronald</t>
  </si>
  <si>
    <t>Lubega</t>
  </si>
  <si>
    <t>Katushabe Grace</t>
  </si>
  <si>
    <t>Nakayiza Grace</t>
  </si>
  <si>
    <t>Kaweesi Ivan</t>
  </si>
  <si>
    <t>Ssebatya Peter</t>
  </si>
  <si>
    <t>0742294372 / 0772995730</t>
  </si>
  <si>
    <t>Kawoya Arnold</t>
  </si>
  <si>
    <t>Nakibwese Pauline</t>
  </si>
  <si>
    <t>Kayongo Jackson</t>
  </si>
  <si>
    <t>Kalema</t>
  </si>
  <si>
    <t>Kembabazi Prisca</t>
  </si>
  <si>
    <t>Nakyanzi Sarah</t>
  </si>
  <si>
    <t>Namasuba/Kitala</t>
  </si>
  <si>
    <t>Kilabila Derrick</t>
  </si>
  <si>
    <t>Julius Mulindwa</t>
  </si>
  <si>
    <t>Kilanzi Ronald</t>
  </si>
  <si>
    <t>Kirangwa Charlse</t>
  </si>
  <si>
    <t>Kirangwa Ian</t>
  </si>
  <si>
    <t>Dan Kawele</t>
  </si>
  <si>
    <t>Kobusingye Juliet</t>
  </si>
  <si>
    <t>Breya Muhwezi</t>
  </si>
  <si>
    <t>Sinde</t>
  </si>
  <si>
    <t>Kobusingye Magret</t>
  </si>
  <si>
    <t>Ayebale Irene</t>
  </si>
  <si>
    <t>Kukunda Betty</t>
  </si>
  <si>
    <t>Atwiine Daniel</t>
  </si>
  <si>
    <t>Kutosi Ben</t>
  </si>
  <si>
    <t>0768124180 /0751137047</t>
  </si>
  <si>
    <t>Kigozi</t>
  </si>
  <si>
    <t>Kwagala Teddy</t>
  </si>
  <si>
    <t>Namusoke</t>
  </si>
  <si>
    <t>Kwagalakwe Damalie</t>
  </si>
  <si>
    <t>0702742373/0773167331</t>
  </si>
  <si>
    <t>Kigereigu Fred</t>
  </si>
  <si>
    <t>Kawafu</t>
  </si>
  <si>
    <t>Kyaligonza Deo</t>
  </si>
  <si>
    <t>Maleza Chales</t>
  </si>
  <si>
    <t>Kyeyune Twaha</t>
  </si>
  <si>
    <t>Nalugo Sylivia</t>
  </si>
  <si>
    <t>Kyogubirwa Madinah</t>
  </si>
  <si>
    <t>Junju</t>
  </si>
  <si>
    <t>Kyokunzire Deborah</t>
  </si>
  <si>
    <t>Nyakato Peninah</t>
  </si>
  <si>
    <t>Leo Lwanga</t>
  </si>
  <si>
    <t>Ssenyonjo Ronald</t>
  </si>
  <si>
    <t>Lovinah Anabirye</t>
  </si>
  <si>
    <t>Ronald Senkumba</t>
  </si>
  <si>
    <t>Lugolobi Gerald</t>
  </si>
  <si>
    <t>Namata Ritah</t>
  </si>
  <si>
    <t>Lule Umar</t>
  </si>
  <si>
    <t>Katabi town council</t>
  </si>
  <si>
    <t>Luzinda Sam</t>
  </si>
  <si>
    <t>Lule Patric</t>
  </si>
  <si>
    <t>Lwanga Betty</t>
  </si>
  <si>
    <t>Lybazebwe Daniel</t>
  </si>
  <si>
    <t>Kigozi Gabriel</t>
  </si>
  <si>
    <t>08 sept 25</t>
  </si>
  <si>
    <t>Maimuna Bachia</t>
  </si>
  <si>
    <t>Zainabu</t>
  </si>
  <si>
    <t>0709151165 /075382177</t>
  </si>
  <si>
    <t>Masolo Sarah</t>
  </si>
  <si>
    <t>Mugoya Marvin</t>
  </si>
  <si>
    <t>Matovu Chalse</t>
  </si>
  <si>
    <t>Namukoowa Alex</t>
  </si>
  <si>
    <t>Matovu Reagan</t>
  </si>
  <si>
    <t>Nakanwagi Grace</t>
  </si>
  <si>
    <t>Mawuzu Sulaiman</t>
  </si>
  <si>
    <t>Abubakali Shaban</t>
  </si>
  <si>
    <t>0780873538 /0709151165</t>
  </si>
  <si>
    <t>Kitubuli</t>
  </si>
  <si>
    <t>Mayanja Sula</t>
  </si>
  <si>
    <t>Mulwabaka Jeremiah</t>
  </si>
  <si>
    <t>Monday Ssazi</t>
  </si>
  <si>
    <t>Kasujja Roselyn</t>
  </si>
  <si>
    <t>Mubiru Ismail</t>
  </si>
  <si>
    <t>mpala</t>
  </si>
  <si>
    <t>Mugala Aminah</t>
  </si>
  <si>
    <t>Henry</t>
  </si>
  <si>
    <t>Mugarura Danson</t>
  </si>
  <si>
    <t>Clair</t>
  </si>
  <si>
    <t>Mugasha Isaac</t>
  </si>
  <si>
    <t>0788081442 /0785856646</t>
  </si>
  <si>
    <t>Mukibi Ronny</t>
  </si>
  <si>
    <t>Tanda</t>
  </si>
  <si>
    <t>Mugisha Ivan</t>
  </si>
  <si>
    <t>Naiga Phoebe</t>
  </si>
  <si>
    <t>Mugweri Isma</t>
  </si>
  <si>
    <t>Nalongo Christine</t>
  </si>
  <si>
    <t>Muhumuza Nicholas</t>
  </si>
  <si>
    <t>0708310998 /0777238219</t>
  </si>
  <si>
    <t>Mukabya Mike</t>
  </si>
  <si>
    <t>0788475858 /0750040565</t>
  </si>
  <si>
    <t>Matama Christine</t>
  </si>
  <si>
    <t>Mukasa Muhammed</t>
  </si>
  <si>
    <t>Nalwanga Cossy</t>
  </si>
  <si>
    <t>Mukasa Simon</t>
  </si>
  <si>
    <t>Mpanga Umar</t>
  </si>
  <si>
    <t>Mukunde Angel</t>
  </si>
  <si>
    <t>Nanungi Falidah</t>
  </si>
  <si>
    <t>Mulabi Moses</t>
  </si>
  <si>
    <t>Mulambuzi Charlse</t>
  </si>
  <si>
    <t>Ssemagwa Godfrey</t>
  </si>
  <si>
    <t>Muliza Margaret</t>
  </si>
  <si>
    <t>Steven</t>
  </si>
  <si>
    <t>Mulongo Kasifa</t>
  </si>
  <si>
    <t>Mulumba Faizo</t>
  </si>
  <si>
    <t>Musa Katidi</t>
  </si>
  <si>
    <t>Kaate Sulaiman</t>
  </si>
  <si>
    <t>Musasizi Mike</t>
  </si>
  <si>
    <t>Nassiwa Annet</t>
  </si>
  <si>
    <t>Musoke David</t>
  </si>
  <si>
    <t>Mukalazi Ronald</t>
  </si>
  <si>
    <t>Green Field/Tanda</t>
  </si>
  <si>
    <t>Muyigwa Marvin/Douglas</t>
  </si>
  <si>
    <t>0708042299/708514037</t>
  </si>
  <si>
    <t>Ruth Ndwala</t>
  </si>
  <si>
    <t>cleared</t>
  </si>
  <si>
    <t>Mwesigwa Kaleb</t>
  </si>
  <si>
    <t>Kulanju Godfrey</t>
  </si>
  <si>
    <t>0702323157 /0766725115</t>
  </si>
  <si>
    <t>Kyabadugavu</t>
  </si>
  <si>
    <t>Mwikyilize Judith</t>
  </si>
  <si>
    <t>Nakalawa Doreen</t>
  </si>
  <si>
    <t>Nabakooza Winnie</t>
  </si>
  <si>
    <t>Nalwada Joweria</t>
  </si>
  <si>
    <t>Nabasumba Nouline</t>
  </si>
  <si>
    <t>Nakajinko Sophia</t>
  </si>
  <si>
    <t>Nabifo Pauline</t>
  </si>
  <si>
    <t>Nabunya Grace</t>
  </si>
  <si>
    <t>Achilo Lubega</t>
  </si>
  <si>
    <t>Nabwami Sharon</t>
  </si>
  <si>
    <t>Nakalema Angel</t>
  </si>
  <si>
    <t>Nabwire Annet</t>
  </si>
  <si>
    <t>John Lule</t>
  </si>
  <si>
    <t>Nagayi Christine</t>
  </si>
  <si>
    <t>Kulusum Barlak</t>
  </si>
  <si>
    <t>0757390037 /0786123640</t>
  </si>
  <si>
    <t>Nailima Hellen Mariam</t>
  </si>
  <si>
    <t>Najjuma Mary</t>
  </si>
  <si>
    <t>Kirumira Rauben</t>
  </si>
  <si>
    <t>Kajjansi</t>
  </si>
  <si>
    <t>Nakafero Mastulah</t>
  </si>
  <si>
    <t>Nakajigo Olivia</t>
  </si>
  <si>
    <t>John Muhanja</t>
  </si>
  <si>
    <t>Nakalanzi Jane</t>
  </si>
  <si>
    <t>Kirabo Gift</t>
  </si>
  <si>
    <t>Namiro</t>
  </si>
  <si>
    <t>Nakalembe Edita</t>
  </si>
  <si>
    <t>has no contact</t>
  </si>
  <si>
    <t>Nalubwama Agnes</t>
  </si>
  <si>
    <t>Nakamoome Marium</t>
  </si>
  <si>
    <t>Mr. Mubiru</t>
  </si>
  <si>
    <t>Nakandi Gorretti</t>
  </si>
  <si>
    <t>Nangonzi Sharon</t>
  </si>
  <si>
    <t>0767178549 / 0748517358</t>
  </si>
  <si>
    <t>Nakanwagi Sarah</t>
  </si>
  <si>
    <t>Nakalemba Maria</t>
  </si>
  <si>
    <t>Nakasango Jovia</t>
  </si>
  <si>
    <t>Prisca K</t>
  </si>
  <si>
    <t>Nakate Florence</t>
  </si>
  <si>
    <t>Sanyu Harriet</t>
  </si>
  <si>
    <t>Nakawesi Daisey</t>
  </si>
  <si>
    <t>Semwanga Robert</t>
  </si>
  <si>
    <t>Garuga</t>
  </si>
  <si>
    <t>Nakayaga Lydia</t>
  </si>
  <si>
    <t>Nakayiwa Norah</t>
  </si>
  <si>
    <t>Nantongo Lydia</t>
  </si>
  <si>
    <t>Nakayiza Hadijah</t>
  </si>
  <si>
    <t>Katerega</t>
  </si>
  <si>
    <t>Nakazibwe Irene</t>
  </si>
  <si>
    <t>Martha</t>
  </si>
  <si>
    <t>Nakazibwe Juliet</t>
  </si>
  <si>
    <t>Areba</t>
  </si>
  <si>
    <t>Nakazibwe Mariam</t>
  </si>
  <si>
    <t>Florence</t>
  </si>
  <si>
    <t>Nakazzi Grace</t>
  </si>
  <si>
    <t>Nasimbwa Ruth</t>
  </si>
  <si>
    <t>Nakazzi Karen</t>
  </si>
  <si>
    <t>0765400996 /0708954291</t>
  </si>
  <si>
    <t>Nakazzi Noeline</t>
  </si>
  <si>
    <t>Nakazzi Rebbecca</t>
  </si>
  <si>
    <t>Nanteza Teopista</t>
  </si>
  <si>
    <t>Nakibinge Daniel's Kid</t>
  </si>
  <si>
    <t>0745163851/0770619558</t>
  </si>
  <si>
    <t>Nakibuuka Shakirah</t>
  </si>
  <si>
    <t>Nakigudde Daphine Marvin</t>
  </si>
  <si>
    <t>0709013042/0757616328</t>
  </si>
  <si>
    <t>Nakiyaga Jannet</t>
  </si>
  <si>
    <t>Mpala/Abaita</t>
  </si>
  <si>
    <t>Nakigudde Sylivia</t>
  </si>
  <si>
    <t>0740681812 /0711395774</t>
  </si>
  <si>
    <t>Kalanzi Fred</t>
  </si>
  <si>
    <t>Nakijoba Zurufah</t>
  </si>
  <si>
    <t>Nansubuga Alice</t>
  </si>
  <si>
    <t>Nakimbugwe Cissy</t>
  </si>
  <si>
    <t>Nakimera Esther</t>
  </si>
  <si>
    <t>Nalinda Jalia</t>
  </si>
  <si>
    <t>Kakindu</t>
  </si>
  <si>
    <t>Nakimuli Sylivia</t>
  </si>
  <si>
    <t>Nakamwa Shamilah</t>
  </si>
  <si>
    <t>Nakintu Anitah</t>
  </si>
  <si>
    <t>Orishaba patience</t>
  </si>
  <si>
    <t>Nakirijja Prossy</t>
  </si>
  <si>
    <t>Kobusingye Flavia</t>
  </si>
  <si>
    <t>Nakirya Esther</t>
  </si>
  <si>
    <t>Nakonde Olivia</t>
  </si>
  <si>
    <t>Nakito Tamuzadesa</t>
  </si>
  <si>
    <t>Nakyaze Vannesa</t>
  </si>
  <si>
    <t>Nkozi Fred</t>
  </si>
  <si>
    <t>0757563900 / 0754981158</t>
  </si>
  <si>
    <t>14-Sept-25</t>
  </si>
  <si>
    <t>Nalongo Babirye</t>
  </si>
  <si>
    <t>Nanteza</t>
  </si>
  <si>
    <t>Nalubega Sylvia</t>
  </si>
  <si>
    <t>Penninah</t>
  </si>
  <si>
    <t>10-sept-25</t>
  </si>
  <si>
    <t>Nalukenge Harriet</t>
  </si>
  <si>
    <t>Nabisere Rose</t>
  </si>
  <si>
    <t>0709011322 / 0755529517</t>
  </si>
  <si>
    <t>Nalumansi Jane</t>
  </si>
  <si>
    <t>Esther Nalwoga</t>
  </si>
  <si>
    <t>Nalumansi Joyce</t>
  </si>
  <si>
    <t>0701856117 /0766409963</t>
  </si>
  <si>
    <t>Nalumansi Lydia</t>
  </si>
  <si>
    <t>Kiwewa</t>
  </si>
  <si>
    <t>Nalumansi Mariam</t>
  </si>
  <si>
    <t>Busingye Fred</t>
  </si>
  <si>
    <t>Nalumansi Sophia</t>
  </si>
  <si>
    <t>Mayanja Chalse</t>
  </si>
  <si>
    <t>Nalunjoji Designer</t>
  </si>
  <si>
    <t>nalutaya barbra</t>
  </si>
  <si>
    <t>Yiga Ritah</t>
  </si>
  <si>
    <t>Banga</t>
  </si>
  <si>
    <t>Naluwuge Juliet</t>
  </si>
  <si>
    <t>Nalwoga Annet Ruth</t>
  </si>
  <si>
    <t>0704326514 /0789663587</t>
  </si>
  <si>
    <t>Getrude Tumuhirire</t>
  </si>
  <si>
    <t>Kitinda</t>
  </si>
  <si>
    <t>Nalwoga Esther</t>
  </si>
  <si>
    <t>Namulinda Jalia</t>
  </si>
  <si>
    <t>Namaganda Aisha</t>
  </si>
  <si>
    <t>Barbara</t>
  </si>
  <si>
    <t>Namala Alice</t>
  </si>
  <si>
    <t>Kisitu</t>
  </si>
  <si>
    <t>Mirembe</t>
  </si>
  <si>
    <t>Namanda Betty</t>
  </si>
  <si>
    <t>Nakito Shamila</t>
  </si>
  <si>
    <t>Namata Pauline</t>
  </si>
  <si>
    <t>Namata Rashidah</t>
  </si>
  <si>
    <t>Makumbi Nicholas</t>
  </si>
  <si>
    <t>Namatovu Josephine</t>
  </si>
  <si>
    <t>Shafic Lubega</t>
  </si>
  <si>
    <t>0755695842 /0701856117</t>
  </si>
  <si>
    <t>Nambooze Juliet</t>
  </si>
  <si>
    <t>Nassali</t>
  </si>
  <si>
    <t>0742016166 / 0703739086</t>
  </si>
  <si>
    <t>Nambuya Jacquiline</t>
  </si>
  <si>
    <t>Bunono</t>
  </si>
  <si>
    <t>Nampijja Suzan</t>
  </si>
  <si>
    <t>Sarah Ndagire</t>
  </si>
  <si>
    <t>Namubiru Harriet</t>
  </si>
  <si>
    <t>Mulumba reagan</t>
  </si>
  <si>
    <t>Namubiru Joweria</t>
  </si>
  <si>
    <t>Namirembe Sarah</t>
  </si>
  <si>
    <t>Namubiru Olivia</t>
  </si>
  <si>
    <t>Nyago Lydia</t>
  </si>
  <si>
    <t>Namubiru Scovia</t>
  </si>
  <si>
    <t>Nakidde Joan</t>
  </si>
  <si>
    <t>Namuddu Mariam</t>
  </si>
  <si>
    <t>Hassan</t>
  </si>
  <si>
    <t>Namuddu Prossy</t>
  </si>
  <si>
    <t>Kaweesi Frank</t>
  </si>
  <si>
    <t>Namugambe Daisy</t>
  </si>
  <si>
    <t>0744490399 /0777918964</t>
  </si>
  <si>
    <t>Nalukenge Rose</t>
  </si>
  <si>
    <t>Namulema Molly</t>
  </si>
  <si>
    <t>Mukasa Rose</t>
  </si>
  <si>
    <t>Namulindwa Rebbecca</t>
  </si>
  <si>
    <t>0701355816 / 0782428754</t>
  </si>
  <si>
    <t>Nabuufu Jackie</t>
  </si>
  <si>
    <t>Namusisi Rose</t>
  </si>
  <si>
    <t>Namutebi Annet</t>
  </si>
  <si>
    <t>Kabuye Steven</t>
  </si>
  <si>
    <t>Namutebi Claire</t>
  </si>
  <si>
    <t>Nakangu Maria Betty</t>
  </si>
  <si>
    <t>Namuyaba Faridah</t>
  </si>
  <si>
    <t>0786270506 /0701686772</t>
  </si>
  <si>
    <t>Nabukenya Sandra</t>
  </si>
  <si>
    <t>0756858630 /0777729382</t>
  </si>
  <si>
    <t>Namwanje Agnes</t>
  </si>
  <si>
    <t>Nandase Kasifa</t>
  </si>
  <si>
    <t>Kaweesi</t>
  </si>
  <si>
    <t>Nandawula Hadijah</t>
  </si>
  <si>
    <t>Moureen</t>
  </si>
  <si>
    <t>Nandudu Base</t>
  </si>
  <si>
    <t>0708219559/0778957992</t>
  </si>
  <si>
    <t>Mabonga John</t>
  </si>
  <si>
    <t>Nanfuka Fridah</t>
  </si>
  <si>
    <t>Andrew Sebulime</t>
  </si>
  <si>
    <t>Nangobi Catherine</t>
  </si>
  <si>
    <t>Nakalembe Elizabeth</t>
  </si>
  <si>
    <t>Nankungu Faith Phoebe</t>
  </si>
  <si>
    <t>Nankya Robbinah</t>
  </si>
  <si>
    <t>Shamillah Abdul Sula</t>
  </si>
  <si>
    <t>Nanteza Genevieve</t>
  </si>
  <si>
    <t>0706252767 /0784163279</t>
  </si>
  <si>
    <t>Nakatunga Agnes</t>
  </si>
  <si>
    <t>s`U</t>
  </si>
  <si>
    <t>6/152025</t>
  </si>
  <si>
    <t>Nantongo Ssuubi</t>
  </si>
  <si>
    <t>Spotnum Property Managemnt/ Mwesigwa Christopher</t>
  </si>
  <si>
    <t>Nanyonga Haddijah</t>
  </si>
  <si>
    <t>Nakanwagi Gloria</t>
  </si>
  <si>
    <t>Nasaazi Justine</t>
  </si>
  <si>
    <t>Nasejje Esther</t>
  </si>
  <si>
    <t>Tekuba Rogers</t>
  </si>
  <si>
    <t>Nasozi Madina</t>
  </si>
  <si>
    <t>Mukwasi Magoma</t>
  </si>
  <si>
    <t>Natukunda Dorcus</t>
  </si>
  <si>
    <t>Phiona</t>
  </si>
  <si>
    <t>Natukunda Eve</t>
  </si>
  <si>
    <t>Tuhilirwe Regina</t>
  </si>
  <si>
    <t>Natukunda Tracy</t>
  </si>
  <si>
    <t>Kakeeto Emmanuel / Nasolo Agnes</t>
  </si>
  <si>
    <t>Ndagire Phiona</t>
  </si>
  <si>
    <t>Nduga Eddy</t>
  </si>
  <si>
    <t>Zachary's Mafabi</t>
  </si>
  <si>
    <t>0786086570/0740901069</t>
  </si>
  <si>
    <t>Nduga Edrine</t>
  </si>
  <si>
    <t>Kanyike Charlse</t>
  </si>
  <si>
    <t>Nakigala</t>
  </si>
  <si>
    <t>Ndugwa Mahad</t>
  </si>
  <si>
    <t>Nabarwanyi Mary</t>
  </si>
  <si>
    <t>0754559237 /0751647146</t>
  </si>
  <si>
    <t>Ndyamuhaki Mercy</t>
  </si>
  <si>
    <t>Ngabire Joan</t>
  </si>
  <si>
    <t>Nimanya Emilly</t>
  </si>
  <si>
    <t>0763880924 /0741171851</t>
  </si>
  <si>
    <t>Edith Behangara</t>
  </si>
  <si>
    <t>Ninsiima Emmanuel</t>
  </si>
  <si>
    <t>Gerald Twinomuhangi</t>
  </si>
  <si>
    <t>Nsubuga Najibu</t>
  </si>
  <si>
    <t>Nuwahareza Doreen</t>
  </si>
  <si>
    <t>Walulya Mike</t>
  </si>
  <si>
    <t>Nuwensiimire Shidrah</t>
  </si>
  <si>
    <t>Namusisi Josephine</t>
  </si>
  <si>
    <t>Nyangabyash Godfrey</t>
  </si>
  <si>
    <t>Ntamba Joash</t>
  </si>
  <si>
    <t>Bukande Kande</t>
  </si>
  <si>
    <t>Nyesiga Joshphat</t>
  </si>
  <si>
    <t>Mulindwa Danson</t>
  </si>
  <si>
    <t>Rubaga</t>
  </si>
  <si>
    <t>Nyinicashaba Proscovia</t>
  </si>
  <si>
    <t>Nakabugo Noweh</t>
  </si>
  <si>
    <t xml:space="preserve"> </t>
  </si>
  <si>
    <t>Obalaa Benjamin</t>
  </si>
  <si>
    <t>Rashid Kyeyune</t>
  </si>
  <si>
    <t>Ojeko Casifah</t>
  </si>
  <si>
    <t>Ajobe Amuzah</t>
  </si>
  <si>
    <t>Onoria Pamela</t>
  </si>
  <si>
    <t>Anthony Okol</t>
  </si>
  <si>
    <t>Onziru Esther</t>
  </si>
  <si>
    <t>Onde Richard</t>
  </si>
  <si>
    <t>Otamu George</t>
  </si>
  <si>
    <t>0704687486/0774577198</t>
  </si>
  <si>
    <t>Nakiwala Aisha</t>
  </si>
  <si>
    <t>Reacheal Kyomugisha</t>
  </si>
  <si>
    <t>0772829488/ 0753967468</t>
  </si>
  <si>
    <t>Nalukwago Udaya</t>
  </si>
  <si>
    <t>Rosette Mary</t>
  </si>
  <si>
    <t>Chris Othyen</t>
  </si>
  <si>
    <t>Rutaisire Adam</t>
  </si>
  <si>
    <t>Sali Moses</t>
  </si>
  <si>
    <t>0704773798/0703000284</t>
  </si>
  <si>
    <t>Samanya Zaina</t>
  </si>
  <si>
    <t>Sempala Tony</t>
  </si>
  <si>
    <t>Sarah Guma osabe</t>
  </si>
  <si>
    <t>Kasozi</t>
  </si>
  <si>
    <t>Setenda Angella</t>
  </si>
  <si>
    <t>Nakiberu Daphine</t>
  </si>
  <si>
    <t>Shafic Byaluhanga</t>
  </si>
  <si>
    <t>Shaka Yazeed</t>
  </si>
  <si>
    <t>Ssematimba Abubakar</t>
  </si>
  <si>
    <t>6/26/1015</t>
  </si>
  <si>
    <t xml:space="preserve">Shakirah Hussein </t>
  </si>
  <si>
    <t xml:space="preserve">Kaleba Daniel </t>
  </si>
  <si>
    <t>Sharif Kalule</t>
  </si>
  <si>
    <t>Ssali Emmanuel</t>
  </si>
  <si>
    <t>Walugembe Fred</t>
  </si>
  <si>
    <t>0772590592 /0700799026</t>
  </si>
  <si>
    <t>Ssande Alex</t>
  </si>
  <si>
    <t>Ssebagala Moses</t>
  </si>
  <si>
    <t>0700723628 /0776722628</t>
  </si>
  <si>
    <t>Ssebiliba Wycliffe</t>
  </si>
  <si>
    <t>Mrs. Viola</t>
  </si>
  <si>
    <t>Ssebwatu Brian</t>
  </si>
  <si>
    <t>Luboyera Hassan</t>
  </si>
  <si>
    <t>Ssekanjako Henry</t>
  </si>
  <si>
    <t>Asio Milly</t>
  </si>
  <si>
    <t>Ssematta Geofrey</t>
  </si>
  <si>
    <t>Kakooza Joan</t>
  </si>
  <si>
    <t>Andelita/Bunono</t>
  </si>
  <si>
    <t>Ssemuyaba Abdul</t>
  </si>
  <si>
    <t>Sseruwagi Zaid</t>
  </si>
  <si>
    <t>Ssebunya Yasin</t>
  </si>
  <si>
    <t xml:space="preserve">Sserwada John </t>
  </si>
  <si>
    <t xml:space="preserve">Aisha Nakayanzi </t>
  </si>
  <si>
    <t>Ssewankambo Ronald</t>
  </si>
  <si>
    <t>Rita Kawino</t>
  </si>
  <si>
    <t>Ssewankambo Steven</t>
  </si>
  <si>
    <t>Lubyayi Deo</t>
  </si>
  <si>
    <t>Steven Balyegisawa</t>
  </si>
  <si>
    <t>0704353485 /0772046846</t>
  </si>
  <si>
    <t>Ssakka Seguya</t>
  </si>
  <si>
    <t>Tayebwa Frank</t>
  </si>
  <si>
    <t>Kamugisha Vicent</t>
  </si>
  <si>
    <t>Baba Sky beach</t>
  </si>
  <si>
    <t>3-sept-25</t>
  </si>
  <si>
    <t>Tumusiime Mariam</t>
  </si>
  <si>
    <t>Zubeda</t>
  </si>
  <si>
    <t>Tumwijukya Prosper</t>
  </si>
  <si>
    <t>Akita Esther</t>
  </si>
  <si>
    <t>Tunanukye Albert</t>
  </si>
  <si>
    <t>Brendah</t>
  </si>
  <si>
    <t>Tweheyo Christopher</t>
  </si>
  <si>
    <t>Dorcas</t>
  </si>
  <si>
    <t>Twesigye Moses</t>
  </si>
  <si>
    <t>Umar Sali</t>
  </si>
  <si>
    <t>Charles Lwanga</t>
  </si>
  <si>
    <t>Wambi Victor</t>
  </si>
  <si>
    <t>Kamanzi Julius</t>
  </si>
  <si>
    <t>Wandela Sammuel</t>
  </si>
  <si>
    <t>Wanyenze Christine</t>
  </si>
  <si>
    <t>Mutebi Sulaiman</t>
  </si>
  <si>
    <t>Wasajja Moses</t>
  </si>
  <si>
    <t>Mukiibi Musa</t>
  </si>
  <si>
    <t>0708773043 / 0751647146</t>
  </si>
  <si>
    <t>Wasajja Simon</t>
  </si>
  <si>
    <t>Wekesa John Derrick</t>
  </si>
  <si>
    <t>Wabumba Yonah</t>
  </si>
  <si>
    <t>Yiga Moses</t>
  </si>
  <si>
    <t>Mubiru Joseph</t>
  </si>
  <si>
    <t>Nasasira Gideon</t>
  </si>
  <si>
    <t>Ambaru Flavia</t>
  </si>
  <si>
    <t>Wahida Habibu</t>
  </si>
  <si>
    <t>19-sept-25</t>
  </si>
  <si>
    <t>NABUKWASI DAISY</t>
  </si>
  <si>
    <t>MUWANGUZI DAVID</t>
  </si>
  <si>
    <t>KITALA</t>
  </si>
  <si>
    <t>NAMATALE JAMAL</t>
  </si>
  <si>
    <t>HAMALA NATHAN</t>
  </si>
  <si>
    <t>BAITA</t>
  </si>
  <si>
    <t>NAMUTEBI HADIJAH</t>
  </si>
  <si>
    <t>BUYINZA JULIET</t>
  </si>
  <si>
    <t>ANKWATSA BRENDAH</t>
  </si>
  <si>
    <t>DAN TUMUSIIME</t>
  </si>
  <si>
    <t>KARAMUZI DENNIS</t>
  </si>
  <si>
    <t>NYAKALINGWA MARK</t>
  </si>
  <si>
    <t>KIZITO PROSPER</t>
  </si>
  <si>
    <t>KASUJJA IBRAHIM</t>
  </si>
  <si>
    <t>Natulinda Gertrude</t>
  </si>
  <si>
    <t>Nantongo Victor</t>
  </si>
  <si>
    <t>KAWUKU</t>
  </si>
  <si>
    <t>Nanteza Fauzi</t>
  </si>
  <si>
    <t>Tamale Sam</t>
  </si>
  <si>
    <t>01-Sept-25</t>
  </si>
  <si>
    <t>AYESIGYE ROBERT</t>
  </si>
  <si>
    <t>Spenser</t>
  </si>
  <si>
    <t>KATABI</t>
  </si>
  <si>
    <t>5-Sept-25</t>
  </si>
  <si>
    <t>Ssewankambo Vicent</t>
  </si>
  <si>
    <t>taibu norah</t>
  </si>
  <si>
    <t>kawuku</t>
  </si>
  <si>
    <t>03-Sept-25</t>
  </si>
  <si>
    <t>NAMUSOKE SHIFAH</t>
  </si>
  <si>
    <t>NAMAYANJA HANIFAH</t>
  </si>
  <si>
    <t>NALUGALA</t>
  </si>
  <si>
    <t>SHAMIRAH NAMUKWAYA</t>
  </si>
  <si>
    <t>NEKESA HADIJAH</t>
  </si>
  <si>
    <t>BUKANDEKANDE</t>
  </si>
  <si>
    <t>KATO DANIEL</t>
  </si>
  <si>
    <t>MPUGA</t>
  </si>
  <si>
    <t>BUNONO</t>
  </si>
  <si>
    <t>05-Sept-27</t>
  </si>
  <si>
    <t>Kazibwe Robert</t>
  </si>
  <si>
    <t>Mukibi Jaudi</t>
  </si>
  <si>
    <t>05-Sept-28</t>
  </si>
  <si>
    <t>Nankasi jascent</t>
  </si>
  <si>
    <t>balyengigha Fred</t>
  </si>
  <si>
    <t>nalugala</t>
  </si>
  <si>
    <t>Benoni Kalokola</t>
  </si>
  <si>
    <t>kataya Aaron</t>
  </si>
  <si>
    <t>kabale</t>
  </si>
  <si>
    <t>11-sept-25</t>
  </si>
  <si>
    <t>Namusoke Poline</t>
  </si>
  <si>
    <t>kajubi mark</t>
  </si>
  <si>
    <t>Najingo Aisha</t>
  </si>
  <si>
    <t>Nakazibwe Grace</t>
  </si>
  <si>
    <t>Nanyonga victoria</t>
  </si>
  <si>
    <t>sharif saad</t>
  </si>
  <si>
    <t>Ndagire irene</t>
  </si>
  <si>
    <t>Nansubuga Margret</t>
  </si>
  <si>
    <t>bukandekande</t>
  </si>
  <si>
    <t>12-sept-25</t>
  </si>
  <si>
    <t>Asiimwe Topista</t>
  </si>
  <si>
    <t>Ssenyonga Lawrence</t>
  </si>
  <si>
    <t>Nayebare Annah</t>
  </si>
  <si>
    <t>Mukasa</t>
  </si>
  <si>
    <t>12-sept-27</t>
  </si>
  <si>
    <t>Kasule Abdul</t>
  </si>
  <si>
    <t>Bamulumba James</t>
  </si>
  <si>
    <t>16-sept-25</t>
  </si>
  <si>
    <t>Mwesigwa Alex</t>
  </si>
  <si>
    <t>Ssendaga Paul</t>
  </si>
  <si>
    <t>katabi</t>
  </si>
  <si>
    <t>Kalekezi Jamada</t>
  </si>
  <si>
    <t>Gerald mulongo</t>
  </si>
  <si>
    <t>nkumba</t>
  </si>
  <si>
    <t>Mubajje Ariah</t>
  </si>
  <si>
    <t>katombo</t>
  </si>
  <si>
    <t>Nampiiba Prossy</t>
  </si>
  <si>
    <t>Nungi Shamirah</t>
  </si>
  <si>
    <t>Kakuba Juma</t>
  </si>
  <si>
    <t>ssentongo Paul</t>
  </si>
  <si>
    <t>Musinguzi Herbert</t>
  </si>
  <si>
    <t>Abdulwahab</t>
  </si>
  <si>
    <t>Bukandekande</t>
  </si>
  <si>
    <t>19=-sept-25</t>
  </si>
  <si>
    <t>Nabongho Meddy</t>
  </si>
  <si>
    <t>Nsereko joseph</t>
  </si>
  <si>
    <t>Blaire Kalyango</t>
  </si>
  <si>
    <t>Mulocho Nelson</t>
  </si>
  <si>
    <t>kyomugisha Aidah</t>
  </si>
  <si>
    <t>Mr Niko</t>
  </si>
  <si>
    <t>Mukama Magezi</t>
  </si>
  <si>
    <t>Nakimwese Puline</t>
  </si>
  <si>
    <t>lunyo</t>
  </si>
  <si>
    <t>Kaitesi Shamim</t>
  </si>
  <si>
    <t>shafic katongole</t>
  </si>
  <si>
    <t>baita</t>
  </si>
  <si>
    <t>17th-oct-25</t>
  </si>
  <si>
    <t>17th-nov-25</t>
  </si>
  <si>
    <t>mugalya Isa</t>
  </si>
  <si>
    <t>24-sept-25</t>
  </si>
  <si>
    <t>Namalema Reachel</t>
  </si>
  <si>
    <t>namutebi Lukaya</t>
  </si>
  <si>
    <t>05-Sept-26</t>
  </si>
  <si>
    <t>Lutakome Peter</t>
  </si>
  <si>
    <t>Nanbole Teo</t>
  </si>
  <si>
    <t>Sekilagga Eddy</t>
  </si>
  <si>
    <t>Kaganda Kalid</t>
  </si>
  <si>
    <t>Nalutaya Esther</t>
  </si>
  <si>
    <t>kitabi</t>
  </si>
  <si>
    <t>magala shamilla nungi</t>
  </si>
  <si>
    <t>Naigaga shalifa</t>
  </si>
  <si>
    <t>Nantege danny</t>
  </si>
  <si>
    <t>mutesa joseph</t>
  </si>
  <si>
    <t>Nakayemba Martha</t>
  </si>
  <si>
    <t>Nambi Tonny</t>
  </si>
  <si>
    <t>09-0ct-25</t>
  </si>
  <si>
    <t>09-dect-25</t>
  </si>
  <si>
    <t>Byomugisha Brian</t>
  </si>
  <si>
    <t>noah</t>
  </si>
  <si>
    <t>Mugisha Isaac</t>
  </si>
  <si>
    <t>Tebandeke James</t>
  </si>
  <si>
    <t>kulubyasi Simon</t>
  </si>
  <si>
    <t>kwizira bashim</t>
  </si>
  <si>
    <t>bunono</t>
  </si>
  <si>
    <t>miro proscovia</t>
  </si>
  <si>
    <t>mwanje Mike</t>
  </si>
  <si>
    <t>Ssalongo Lutaya</t>
  </si>
  <si>
    <t>Diana kaseigya</t>
  </si>
  <si>
    <t>musisi Peter</t>
  </si>
  <si>
    <t>Ainruhanga Paul</t>
  </si>
  <si>
    <t>Nsubuga John</t>
  </si>
  <si>
    <t>Kasumba john</t>
  </si>
  <si>
    <t>Kagwa Edison</t>
  </si>
  <si>
    <t>mwebe Steven</t>
  </si>
  <si>
    <t>Nabikyalo Teddy</t>
  </si>
  <si>
    <t>Nabirye Annet</t>
  </si>
  <si>
    <t>Atuhaire Peninah</t>
  </si>
  <si>
    <t>kiyimbi john</t>
  </si>
  <si>
    <t>kasujja Alex</t>
  </si>
  <si>
    <t>mr Kaweesi</t>
  </si>
  <si>
    <t>karuhanga joel</t>
  </si>
  <si>
    <t>kakooza frank</t>
  </si>
  <si>
    <t>Muwonge Akram</t>
  </si>
  <si>
    <t>mande tadeo</t>
  </si>
  <si>
    <t>Ntongo Agnes</t>
  </si>
  <si>
    <t>ssekubuge charles</t>
  </si>
  <si>
    <t>Joseph Waswa</t>
  </si>
  <si>
    <t>namugerwa pauline</t>
  </si>
  <si>
    <t>kyarukunda sula</t>
  </si>
  <si>
    <t>nakamya stella</t>
  </si>
  <si>
    <t>ssenyondo viane</t>
  </si>
  <si>
    <t>josephine Namwanje</t>
  </si>
  <si>
    <t>CONTACT</t>
  </si>
  <si>
    <t>ADRESS</t>
  </si>
  <si>
    <t>COMMENT</t>
  </si>
  <si>
    <t>Wanyeze Christine</t>
  </si>
  <si>
    <t>Nakibinge Daniel</t>
  </si>
  <si>
    <t>Nuwahereza Doreen</t>
  </si>
  <si>
    <t>Nalumansi Marium</t>
  </si>
  <si>
    <t>07863 23161</t>
  </si>
  <si>
    <t>Nakijoba Zulfah</t>
  </si>
  <si>
    <t>Namulindwa Rebeccah</t>
  </si>
  <si>
    <t>Kwagalakwe Damali</t>
  </si>
  <si>
    <t>Mugala Amina</t>
  </si>
  <si>
    <t>Nabiffo Pauline</t>
  </si>
  <si>
    <t>Byaruhanga Wilson</t>
  </si>
  <si>
    <t>Besigye Norman</t>
  </si>
  <si>
    <t>Ssebuliba Wcyliff</t>
  </si>
  <si>
    <t>lugolobi Gerald</t>
  </si>
  <si>
    <t>BUGABO</t>
  </si>
  <si>
    <t>Matovu Regan</t>
  </si>
  <si>
    <t>BULEGA</t>
  </si>
  <si>
    <t>GARUGA</t>
  </si>
  <si>
    <t>Nakazi Rebecca</t>
  </si>
  <si>
    <t>Samanya Zainab</t>
  </si>
  <si>
    <t>DATE</t>
  </si>
  <si>
    <t>EXPECTED PAYMENT</t>
  </si>
  <si>
    <t>COLLECTION</t>
  </si>
  <si>
    <t>TOTAL TENANTS</t>
  </si>
  <si>
    <t>TENANTS PAID</t>
  </si>
  <si>
    <t>% PAID</t>
  </si>
  <si>
    <t>TEL</t>
  </si>
  <si>
    <t>RESIDENCE</t>
  </si>
  <si>
    <t>RENT AMOUNT</t>
  </si>
  <si>
    <t>REPAYMENT</t>
  </si>
  <si>
    <t>PAID</t>
  </si>
  <si>
    <t>BALANCE</t>
  </si>
  <si>
    <t>START DATE</t>
  </si>
  <si>
    <t>END DATE</t>
  </si>
  <si>
    <t>KAWEESI IVAN</t>
  </si>
  <si>
    <t>NABWAMI SHARON</t>
  </si>
  <si>
    <t>HASSAN HUSAIN</t>
  </si>
  <si>
    <t>WASAJJA SIMON</t>
  </si>
  <si>
    <t>KATAMBI</t>
  </si>
  <si>
    <t>MUGASHA ISAAC</t>
  </si>
  <si>
    <t>ABAITA ABABIRI</t>
  </si>
  <si>
    <t>Kameeza Maria</t>
  </si>
  <si>
    <t>katambi</t>
  </si>
  <si>
    <t>kiwafu</t>
  </si>
  <si>
    <t>SHAKIRA HUSSEIN</t>
  </si>
  <si>
    <t>NABAKOOZA WINNIE</t>
  </si>
  <si>
    <t>NABUNYA GRACE</t>
  </si>
  <si>
    <t>NAKAZIBWE JULIET</t>
  </si>
  <si>
    <t>NAKAZIBWE MARIAM</t>
  </si>
  <si>
    <t xml:space="preserve">NANKYA ROBINAH  </t>
  </si>
  <si>
    <t>SSERWADS JOHN</t>
  </si>
  <si>
    <t>BUJJUZA JANE</t>
  </si>
  <si>
    <t>Nantongo ssubi</t>
  </si>
  <si>
    <t>ADDRESS</t>
  </si>
  <si>
    <t xml:space="preserve">  RENTPAID TO LANDROD</t>
  </si>
  <si>
    <t>TOTAL REPAYMENT</t>
  </si>
  <si>
    <t>DAILY REPAYMENT</t>
  </si>
  <si>
    <t>End date</t>
  </si>
  <si>
    <t>3-SEPT-25</t>
  </si>
  <si>
    <t>Bagia Mayimuna</t>
  </si>
  <si>
    <t>15/7/2025</t>
  </si>
  <si>
    <t>15/8/2025</t>
  </si>
  <si>
    <t>kitubulu</t>
  </si>
  <si>
    <t>Y</t>
  </si>
  <si>
    <t>IKOMBA JUDE</t>
  </si>
  <si>
    <t>MUSINDE</t>
  </si>
  <si>
    <t>Kobusingye Magrete</t>
  </si>
  <si>
    <t>NKUMBA</t>
  </si>
  <si>
    <t>LUGONJO</t>
  </si>
  <si>
    <t>25-sept-25</t>
  </si>
  <si>
    <t>Namugaba Frida</t>
  </si>
  <si>
    <t>02-Sept-29</t>
  </si>
  <si>
    <t>03-sept-25</t>
  </si>
  <si>
    <t>NANTEZA FAUZIA</t>
  </si>
  <si>
    <t>01-SEPT-25</t>
  </si>
  <si>
    <t>KITINDA</t>
  </si>
  <si>
    <t>KABALE</t>
  </si>
  <si>
    <t>Baba sky beach</t>
  </si>
  <si>
    <t>12-sept-26</t>
  </si>
  <si>
    <t>Diana kasangya</t>
  </si>
  <si>
    <t>Karuhanga Joel</t>
  </si>
  <si>
    <t>Balance</t>
  </si>
  <si>
    <t>Fine imposed</t>
  </si>
  <si>
    <t>Date of last payment</t>
  </si>
  <si>
    <t>WEEK</t>
  </si>
  <si>
    <t>TARGET</t>
  </si>
  <si>
    <t>COLLECTED</t>
  </si>
  <si>
    <t>1st Sept-7th Sept</t>
  </si>
  <si>
    <t>8th Sept-14th Sept</t>
  </si>
  <si>
    <t>15th Sept-21st Sept</t>
  </si>
  <si>
    <t>22nd Sept-28th Sept</t>
  </si>
  <si>
    <t>KAMPULIRA NELSON</t>
  </si>
  <si>
    <t xml:space="preserve">    </t>
  </si>
  <si>
    <t xml:space="preserve">        k</t>
  </si>
  <si>
    <t>ZANA</t>
  </si>
  <si>
    <t>6-sept 25</t>
  </si>
  <si>
    <t xml:space="preserve">      </t>
  </si>
  <si>
    <t>Kirabo Shamirah</t>
  </si>
  <si>
    <t>Kabuga Yasin</t>
  </si>
  <si>
    <t>Kabaala Arafat</t>
  </si>
  <si>
    <t>Namagembe Zaharah</t>
  </si>
  <si>
    <t>Nsubuga Brian</t>
  </si>
  <si>
    <t>Mukisa</t>
  </si>
  <si>
    <t>Mukisa Jovan</t>
  </si>
  <si>
    <t>Brian</t>
  </si>
  <si>
    <t>Akampirira Joseline</t>
  </si>
  <si>
    <t>Jesca Aboke</t>
  </si>
  <si>
    <t>Musinde</t>
  </si>
  <si>
    <t>Kigongo Jenin</t>
  </si>
  <si>
    <t>Martin</t>
  </si>
  <si>
    <t>Naluzzi Sylivia</t>
  </si>
  <si>
    <t>Amegi Ismail</t>
  </si>
  <si>
    <t>Nambogo Allen</t>
  </si>
  <si>
    <t>Mukisa Jane</t>
  </si>
  <si>
    <t>Kaggwa Edison</t>
  </si>
  <si>
    <t>Kabito Kyaluzi</t>
  </si>
  <si>
    <t>Nakabiito Joan</t>
  </si>
  <si>
    <t>Luyicya Shakira</t>
  </si>
  <si>
    <t>Ssempijja Stella</t>
  </si>
  <si>
    <t>Amero Suzan</t>
  </si>
  <si>
    <t>Kanonekali</t>
  </si>
  <si>
    <t>Kamahanga Shakira</t>
  </si>
  <si>
    <t>Julius</t>
  </si>
  <si>
    <t>Nabbaale Ritah</t>
  </si>
  <si>
    <t>Nakiyemba Ritah</t>
  </si>
  <si>
    <t>Kaboona</t>
  </si>
  <si>
    <t>Ankunda Allen</t>
  </si>
  <si>
    <t>Namulega Maureen</t>
  </si>
  <si>
    <t>Nalugwa Stephan</t>
  </si>
  <si>
    <t>Eve</t>
  </si>
  <si>
    <t>Namale Eve</t>
  </si>
  <si>
    <t>Aziiza</t>
  </si>
  <si>
    <t>Namugerwa Bennah</t>
  </si>
  <si>
    <t xml:space="preserve">Ritah </t>
  </si>
  <si>
    <t>Mubiru Hussein</t>
  </si>
  <si>
    <t>Faridah Nakazibwe</t>
  </si>
  <si>
    <t>Nakito Madina</t>
  </si>
  <si>
    <t>Nyanja</t>
  </si>
  <si>
    <t xml:space="preserve">Kitala </t>
  </si>
  <si>
    <t xml:space="preserve">Nakafero Victor </t>
  </si>
  <si>
    <t>Imerit</t>
  </si>
  <si>
    <t>Kihembo Hope</t>
  </si>
  <si>
    <t xml:space="preserve">Kayongo Moses </t>
  </si>
  <si>
    <t xml:space="preserve">Mutoni Promise </t>
  </si>
  <si>
    <t xml:space="preserve">Mutesi Doreen </t>
  </si>
  <si>
    <t>Herman Kalega</t>
  </si>
  <si>
    <t>Nalongo</t>
  </si>
  <si>
    <t>Peter Musisi</t>
  </si>
  <si>
    <t xml:space="preserve">Mulinda salongo </t>
  </si>
  <si>
    <t xml:space="preserve">Kuteesa Collins </t>
  </si>
  <si>
    <t xml:space="preserve">Wasswa Abdul </t>
  </si>
  <si>
    <t xml:space="preserve">Nanyonjo Stella </t>
  </si>
  <si>
    <t xml:space="preserve">Sentuwa Ronald </t>
  </si>
  <si>
    <t>Tumusiime Benjamin</t>
  </si>
  <si>
    <t>Bagyiiza Kasim</t>
  </si>
  <si>
    <t>Bwaise</t>
  </si>
  <si>
    <t>Zaituni Namukasa</t>
  </si>
  <si>
    <t>Nakiwala Vanessa</t>
  </si>
  <si>
    <t>Natabi Margret</t>
  </si>
  <si>
    <t>Tumukunde Justine</t>
  </si>
  <si>
    <t>Nabakooza Bridget</t>
  </si>
  <si>
    <t>Bunyoro Josephine</t>
  </si>
  <si>
    <t>Shafic</t>
  </si>
  <si>
    <t>Kasaga Dan</t>
  </si>
  <si>
    <t>Uncle peter</t>
  </si>
  <si>
    <t>Tebesigwa Francis</t>
  </si>
  <si>
    <t>0704279019/0772506010</t>
  </si>
  <si>
    <t>Leonard</t>
  </si>
  <si>
    <t>Namutebi Sauda</t>
  </si>
  <si>
    <t>Mugerwa Lawrence</t>
  </si>
  <si>
    <t>Nakimuli Sofia</t>
  </si>
  <si>
    <t>Mayanja Charlse</t>
  </si>
  <si>
    <t>Nabunje Carol</t>
  </si>
  <si>
    <t>Nakato Madina</t>
  </si>
  <si>
    <t>Wasswa Emmanuel</t>
  </si>
  <si>
    <t>Grace Mugisha</t>
  </si>
  <si>
    <t>Kato Twairu</t>
  </si>
  <si>
    <t>Namusisi</t>
  </si>
  <si>
    <t>Nakyajja Tracy</t>
  </si>
  <si>
    <t>Kiseka Paul</t>
  </si>
  <si>
    <t>Matovu Ashiraf</t>
  </si>
  <si>
    <t>Namalya Anna</t>
  </si>
  <si>
    <t>Asiimwe Barbara</t>
  </si>
  <si>
    <t>Kirabo Suzan</t>
  </si>
  <si>
    <t>Namutebi Lilian</t>
  </si>
  <si>
    <t>Nsubuga</t>
  </si>
  <si>
    <t>Byamukama Godwin</t>
  </si>
  <si>
    <t>Ssemata Abdul</t>
  </si>
  <si>
    <t>Muzaifah Abubakari</t>
  </si>
  <si>
    <t>Mugume Hamidu</t>
  </si>
  <si>
    <t>Musinguzi Daniel</t>
  </si>
  <si>
    <t>Najjanankumbi</t>
  </si>
  <si>
    <t>Sadi Gatete Ibrahim</t>
  </si>
  <si>
    <t>Kawoya Shafic</t>
  </si>
  <si>
    <t>Masajja</t>
  </si>
  <si>
    <t>Nyesigye Sylivia</t>
  </si>
  <si>
    <t>Tumwijukye Verina</t>
  </si>
  <si>
    <t>Tumwijukye Kelesensiyo</t>
  </si>
  <si>
    <t>Rukandema John Bosco</t>
  </si>
  <si>
    <t>Nabagala Trisha</t>
  </si>
  <si>
    <t>Simon Eramu Peter</t>
  </si>
  <si>
    <t>Salume Acom</t>
  </si>
  <si>
    <t>Fahad Mugabe</t>
  </si>
  <si>
    <t>Rose</t>
  </si>
  <si>
    <t>Namakula Susan</t>
  </si>
  <si>
    <t>Nankyinga</t>
  </si>
  <si>
    <t>Fatuma</t>
  </si>
  <si>
    <t>Nassiwa Juliet</t>
  </si>
  <si>
    <t>Mugerwa Ian</t>
  </si>
  <si>
    <t>Nagayi Brendah</t>
  </si>
  <si>
    <t>Nabukeera Margaret</t>
  </si>
  <si>
    <t>Nasuna Annet</t>
  </si>
  <si>
    <t>Natulinda Stella</t>
  </si>
  <si>
    <t>Kivumbi Elijah</t>
  </si>
  <si>
    <t>Tabula Mike</t>
  </si>
  <si>
    <t>Asiimwe Betty</t>
  </si>
  <si>
    <t>Natulinda Rose</t>
  </si>
  <si>
    <t>Kisakye Esther</t>
  </si>
  <si>
    <t>Ninsiima Herbert</t>
  </si>
  <si>
    <t>Abdul</t>
  </si>
  <si>
    <t>Chemutai Rose</t>
  </si>
  <si>
    <t>Lubyayi Boniface</t>
  </si>
  <si>
    <t>Namutebi Rashida</t>
  </si>
  <si>
    <t>Wasswa Lugemwa</t>
  </si>
  <si>
    <t>Lubwama Sam</t>
  </si>
  <si>
    <t xml:space="preserve">Aisha </t>
  </si>
  <si>
    <t>Nabasa Ruth</t>
  </si>
  <si>
    <t>Katusiime Medius</t>
  </si>
  <si>
    <t>Nakyeyune Justine</t>
  </si>
  <si>
    <t xml:space="preserve">Scovia </t>
  </si>
  <si>
    <t>Ninsiima Anne</t>
  </si>
  <si>
    <t xml:space="preserve">Ronald </t>
  </si>
  <si>
    <t xml:space="preserve">Mujuni Godfrey </t>
  </si>
  <si>
    <t>Jane</t>
  </si>
  <si>
    <t>Nakyito Madinah</t>
  </si>
  <si>
    <t>Hawa Asiri</t>
  </si>
  <si>
    <t xml:space="preserve">Kitubulu </t>
  </si>
  <si>
    <t>Madila Habibu</t>
  </si>
  <si>
    <t>Adube</t>
  </si>
  <si>
    <t xml:space="preserve">Kwagala Faith </t>
  </si>
  <si>
    <t xml:space="preserve">Maria Betty </t>
  </si>
  <si>
    <t xml:space="preserve">Nakayizi Hadija </t>
  </si>
  <si>
    <t xml:space="preserve">Katerega Ronald </t>
  </si>
  <si>
    <t xml:space="preserve">Ninyikiriza Prudence </t>
  </si>
  <si>
    <t>Natukunda Bridget</t>
  </si>
  <si>
    <t xml:space="preserve">Nabadeke Moureen </t>
  </si>
  <si>
    <t>Watsemba Angel</t>
  </si>
  <si>
    <t xml:space="preserve">Kawuku </t>
  </si>
  <si>
    <t xml:space="preserve">Nakimera Joan </t>
  </si>
  <si>
    <t>Muyama Agnes</t>
  </si>
  <si>
    <t>Alex Frank Takiwenga</t>
  </si>
  <si>
    <t>Nalumansi Angella</t>
  </si>
  <si>
    <t xml:space="preserve">Bunono </t>
  </si>
  <si>
    <t xml:space="preserve">Kiyemba Martin </t>
  </si>
  <si>
    <t xml:space="preserve">Walukaga Isaac </t>
  </si>
  <si>
    <t>Ssenyonjo Saddat</t>
  </si>
  <si>
    <t xml:space="preserve">Charles </t>
  </si>
  <si>
    <t xml:space="preserve">Kemigisha </t>
  </si>
  <si>
    <t>Kakuru Rehema</t>
  </si>
  <si>
    <t xml:space="preserve">Tebasima Joan </t>
  </si>
  <si>
    <t xml:space="preserve">Hassan </t>
  </si>
  <si>
    <t xml:space="preserve">Mutebi Sulaiman </t>
  </si>
  <si>
    <t>Namakula Shaniz</t>
  </si>
  <si>
    <t>Saidat Nalubega</t>
  </si>
  <si>
    <t xml:space="preserve">Nalubega Shakira </t>
  </si>
  <si>
    <t>Nalubiri  Annet</t>
  </si>
  <si>
    <t>Lutalo Ivan</t>
  </si>
  <si>
    <t>Barekye</t>
  </si>
  <si>
    <t>Kamugira Irene</t>
  </si>
  <si>
    <t>Mizidas lukongwa</t>
  </si>
  <si>
    <t>Nuwagaba Titus</t>
  </si>
  <si>
    <t>Aihiriza Anita</t>
  </si>
  <si>
    <t xml:space="preserve">TENANT NAME </t>
  </si>
  <si>
    <t>TENANT NO</t>
  </si>
  <si>
    <t xml:space="preserve">PLACE OF RESIDENCE </t>
  </si>
  <si>
    <t>SSEMAMBO TIMOTHY</t>
  </si>
  <si>
    <t>NAKIWOGO</t>
  </si>
  <si>
    <t>WALUSIMBI ANDREW</t>
  </si>
  <si>
    <t>KALANDA FESITO</t>
  </si>
  <si>
    <t>KALUME GODFREY</t>
  </si>
  <si>
    <t>SSEMBATYA ISAAC</t>
  </si>
  <si>
    <t>KIWAFU</t>
  </si>
  <si>
    <t>LULE DONE</t>
  </si>
  <si>
    <t>KIWAFU WEST</t>
  </si>
  <si>
    <t>KALANZI TONNY</t>
  </si>
  <si>
    <t>KINYALWANDA</t>
  </si>
  <si>
    <t>KASIRIVU TONNY</t>
  </si>
  <si>
    <t>NABASIRYE GORRET</t>
  </si>
  <si>
    <t>SSEBYUTU GEORGE</t>
  </si>
  <si>
    <t>NAJJITA IRENE</t>
  </si>
  <si>
    <t>SEKYANZI ANDREW</t>
  </si>
  <si>
    <t>kANKAKA MARVIN</t>
  </si>
  <si>
    <t>BWANIKA TOM</t>
  </si>
  <si>
    <t>BIRUNGI DESIRE</t>
  </si>
  <si>
    <t>SSESANGA IVAN</t>
  </si>
  <si>
    <t>SSEMAKADDE SIMON</t>
  </si>
  <si>
    <t>NAMATOVU IRENE</t>
  </si>
  <si>
    <t>NAKIMBUGWE PENNIN</t>
  </si>
  <si>
    <t>NABUUKERA ANGELLA</t>
  </si>
  <si>
    <t>ZALWANGO JANET</t>
  </si>
  <si>
    <t>NALWEYISO AMINA</t>
  </si>
  <si>
    <t>KASAJJA FRANK</t>
  </si>
  <si>
    <t>MBABAZZI EMANNUEL</t>
  </si>
  <si>
    <t>SEKANDI PAUL</t>
  </si>
  <si>
    <t>SSEWAVA HABERT</t>
  </si>
  <si>
    <t xml:space="preserve">KATENDE BOSSA </t>
  </si>
  <si>
    <t>SSEKATE AGATHA</t>
  </si>
  <si>
    <t>TUMUNYINA ANITA</t>
  </si>
  <si>
    <t xml:space="preserve"> NKUMBA</t>
  </si>
  <si>
    <t>ALIMBO HASSAN</t>
  </si>
  <si>
    <t>KASULE AMOS</t>
  </si>
  <si>
    <t>KIWALABYE ANDREW</t>
  </si>
  <si>
    <t>ATUHAIRE JOHN</t>
  </si>
  <si>
    <t>SSENYONGA ALEX</t>
  </si>
  <si>
    <t>KIMBYE TREVA</t>
  </si>
  <si>
    <t>ALIYONTA ARNORD</t>
  </si>
  <si>
    <t>ANDEREA GIANTE</t>
  </si>
  <si>
    <t>NABASIRYE JOVIA</t>
  </si>
  <si>
    <t>ATUHIRE GORRETTI</t>
  </si>
  <si>
    <t xml:space="preserve">SSENGENDO PHILLIMONE </t>
  </si>
  <si>
    <t>DDEMBE EMMANUEL</t>
  </si>
  <si>
    <t>KITOORO C</t>
  </si>
  <si>
    <t>BYAMUHUNGI DERRICK</t>
  </si>
  <si>
    <t>AWORRI STEVEN</t>
  </si>
  <si>
    <t>KINYARWANDA</t>
  </si>
  <si>
    <t>GAAYi ARNORD</t>
  </si>
  <si>
    <t>LULE ALEX</t>
  </si>
  <si>
    <t>LAAZALO SHALIF</t>
  </si>
  <si>
    <t>LUBEGA BASHIRU</t>
  </si>
  <si>
    <t>HAMUZA GODFREY</t>
  </si>
  <si>
    <t>TWAHIRE LANESHA</t>
  </si>
  <si>
    <t>MASAVU PAULO</t>
  </si>
  <si>
    <t>KIWAFFU</t>
  </si>
  <si>
    <t>TENDO BIRUNGI</t>
  </si>
  <si>
    <t>MATILDA JANDI</t>
  </si>
  <si>
    <t>KYALISI IBRAHIM</t>
  </si>
  <si>
    <t>MUWONGE HAMZA</t>
  </si>
  <si>
    <t>NALWEYISO AGNES</t>
  </si>
  <si>
    <t xml:space="preserve">SANDRA A </t>
  </si>
  <si>
    <t>NAMAGUNGA ANNET</t>
  </si>
  <si>
    <t>KIWANUKA ALON</t>
  </si>
  <si>
    <t>MUTEBI RENNIN</t>
  </si>
  <si>
    <t>MUNYALA AMOS</t>
  </si>
  <si>
    <t>SEKITOLEKO ANDREYA</t>
  </si>
  <si>
    <t>KITUBULU</t>
  </si>
  <si>
    <t>WALUSIMBI W</t>
  </si>
  <si>
    <t>SSENYONGA GODFREY</t>
  </si>
  <si>
    <t>NAKATTE VANESA</t>
  </si>
  <si>
    <t>KASUMBA IRENE</t>
  </si>
  <si>
    <t>KASIRIVU GEORGE</t>
  </si>
  <si>
    <t xml:space="preserve">MITAALA IVAN </t>
  </si>
  <si>
    <t>LUBOWA JOHN</t>
  </si>
  <si>
    <t>AMPERIRE AGNES</t>
  </si>
  <si>
    <t>NAKAGWA N</t>
  </si>
  <si>
    <t>NAMATIMBA K</t>
  </si>
  <si>
    <t>KASIRYE JANE</t>
  </si>
  <si>
    <t>DEWUNIRA SIMON</t>
  </si>
  <si>
    <t>KIMIZZE PAULO</t>
  </si>
  <si>
    <t>BUWAZZI W</t>
  </si>
  <si>
    <t>WASSWA JULIUS</t>
  </si>
  <si>
    <t>LAMEKA RICHARD</t>
  </si>
  <si>
    <t>NAKIMBO LILLIAN</t>
  </si>
  <si>
    <t>MUHANGUZI MED</t>
  </si>
  <si>
    <t xml:space="preserve">MUKISA MOSES </t>
  </si>
  <si>
    <t>NAKIMBUGWE JACKIE</t>
  </si>
  <si>
    <t>LUBEGA TOMMY</t>
  </si>
  <si>
    <t>KIMEZE BASHIRU</t>
  </si>
  <si>
    <t>KISEMBI</t>
  </si>
  <si>
    <t>SSOZI BRIAN</t>
  </si>
  <si>
    <t>WASIBE BROWN</t>
  </si>
  <si>
    <t>LUBEGA UMARU</t>
  </si>
  <si>
    <t xml:space="preserve"> ABAS STUART</t>
  </si>
  <si>
    <t>TWAHIBA JUNE</t>
  </si>
  <si>
    <t>NSANZIRO GEOFREY</t>
  </si>
  <si>
    <t>SSEKAJJA EDWARD</t>
  </si>
  <si>
    <t>SSEMATIMBO JOWELLO</t>
  </si>
  <si>
    <t>WALUSIMBI NASSER</t>
  </si>
  <si>
    <t>NANSINKOMBI JOAN</t>
  </si>
  <si>
    <t>ATUKUNDE ANNET</t>
  </si>
  <si>
    <t>KAVUMA FEDERIKO</t>
  </si>
  <si>
    <t>LUWALIRWA SIMON</t>
  </si>
  <si>
    <t>SSEMATIMBA AYON</t>
  </si>
  <si>
    <t>TUSHABIRE SHAMIM</t>
  </si>
  <si>
    <t>NAKIKOTO CISSY</t>
  </si>
  <si>
    <t>WAKOTTI JAMES</t>
  </si>
  <si>
    <t>TUMWEBALE JOHN</t>
  </si>
  <si>
    <t>ACOM CATHERINE</t>
  </si>
  <si>
    <t>AKELLO GLOMA</t>
  </si>
  <si>
    <t>LUGONJA</t>
  </si>
  <si>
    <t>KYWANA MEDIE</t>
  </si>
  <si>
    <t xml:space="preserve">OLIMA MUZAMILU </t>
  </si>
  <si>
    <t>SSEMWOGERERE RONALD</t>
  </si>
  <si>
    <t>KASINGA SAIDI OSCAR</t>
  </si>
  <si>
    <t>BONNY SCOVIA</t>
  </si>
  <si>
    <t>DEO BYAKATONDA</t>
  </si>
  <si>
    <t>BUSAMBAGA</t>
  </si>
  <si>
    <t>MORGAN MASABA</t>
  </si>
  <si>
    <t>TUSABE FRANCIS</t>
  </si>
  <si>
    <t>BUNYO</t>
  </si>
  <si>
    <t>MAKYALA DAVID</t>
  </si>
  <si>
    <t>KUNGONZA MOREEN</t>
  </si>
  <si>
    <t>MAURICE TAKUMI</t>
  </si>
  <si>
    <t>NASIMBWA FLAVIA</t>
  </si>
  <si>
    <t>OBOTH ALEX</t>
  </si>
  <si>
    <t>MD TRADERS</t>
  </si>
  <si>
    <t>LUZANA ISAAC</t>
  </si>
  <si>
    <t>KATAKI JENNIFER</t>
  </si>
  <si>
    <t>WAMUKAMA DAN</t>
  </si>
  <si>
    <t>AJOK KEVIN</t>
  </si>
  <si>
    <t>NAMANYA MOUREEN</t>
  </si>
  <si>
    <t>ATWONGIRE NAUME</t>
  </si>
  <si>
    <t>JUSTIN</t>
  </si>
  <si>
    <t>MANDRE PETER</t>
  </si>
  <si>
    <t>ABA UGANDA</t>
  </si>
  <si>
    <t>BANDA</t>
  </si>
  <si>
    <t>ZAWEDDE ESTHER</t>
  </si>
  <si>
    <t>AKELLO YVONNE</t>
  </si>
  <si>
    <t>WASWA JAMES</t>
  </si>
  <si>
    <t>OKISOS V CHARLES</t>
  </si>
  <si>
    <t>ANTHONY TONNY</t>
  </si>
  <si>
    <t>NANTABA SANDRA</t>
  </si>
  <si>
    <t>NANDUBUGA HADIJA</t>
  </si>
  <si>
    <t>NAMUBIRU SANDRA</t>
  </si>
  <si>
    <t>NAMIE BRENDA</t>
  </si>
  <si>
    <t>NANTUME DIANA</t>
  </si>
  <si>
    <t>KYAGULANYI MUHAMAD</t>
  </si>
  <si>
    <t>OKIROR STEPHEN</t>
  </si>
  <si>
    <t>BWAMBALE TADEO</t>
  </si>
  <si>
    <t>KUUNYA</t>
  </si>
  <si>
    <t>NAKATE SHARON</t>
  </si>
  <si>
    <t>MAWANDA ANDREW</t>
  </si>
  <si>
    <t>KIMEZE JACKSON</t>
  </si>
  <si>
    <t>NABUKENYA JULIET</t>
  </si>
  <si>
    <t>NUWAGABA TIMOTHY</t>
  </si>
  <si>
    <t>BINOMUGISHA SAM</t>
  </si>
  <si>
    <t xml:space="preserve">ALUKO BEATRICE </t>
  </si>
  <si>
    <t>AMANI HEATHER</t>
  </si>
  <si>
    <t>TUMWIJUKYE JOSEPH</t>
  </si>
  <si>
    <t>AHIMBAZWE RODERIC</t>
  </si>
  <si>
    <t>AMADRI STELLA</t>
  </si>
  <si>
    <t>ACIDRI JACEN</t>
  </si>
  <si>
    <t>MWEBE ABDULAH</t>
  </si>
  <si>
    <t>EKOMOLOIT FRANCIS</t>
  </si>
  <si>
    <t>TABIMYWA GRACE</t>
  </si>
  <si>
    <t>OKELLO SAM</t>
  </si>
  <si>
    <t>BLICK AARON</t>
  </si>
  <si>
    <t>MAEL LAMON</t>
  </si>
  <si>
    <t xml:space="preserve">ZAC NIRINGEYE </t>
  </si>
  <si>
    <t>ATUKUNDA ESTHER</t>
  </si>
  <si>
    <t xml:space="preserve">NAMUTEBI SYLVIA </t>
  </si>
  <si>
    <t xml:space="preserve">
KUUNYA</t>
  </si>
  <si>
    <t xml:space="preserve">OTIENO DALMAS </t>
  </si>
  <si>
    <t xml:space="preserve">MBAZIRA KAZIBWE </t>
  </si>
  <si>
    <t xml:space="preserve">NAWAGINA GLORIA </t>
  </si>
  <si>
    <t>BUGOLOBI</t>
  </si>
  <si>
    <t xml:space="preserve">DANIEL ASIMIBWE </t>
  </si>
  <si>
    <t>MELANIE ASIANUT</t>
  </si>
  <si>
    <t>KIKOMEKO MUHAMED</t>
  </si>
  <si>
    <t xml:space="preserve"> BUGOLOBI</t>
  </si>
  <si>
    <t xml:space="preserve">KABUBI GRACE MARY </t>
  </si>
  <si>
    <t>ATUHAIRE JACKLINE</t>
  </si>
  <si>
    <t>JOHNSON PETER ONYOM</t>
  </si>
  <si>
    <t>BARBRA DOREEN</t>
  </si>
  <si>
    <t>OKWAKUNDA GLORIA</t>
  </si>
  <si>
    <t>NANYONJO GLORIA</t>
  </si>
  <si>
    <t>NAANDERA PEACE</t>
  </si>
  <si>
    <t>KYOMUNENDO KEVIN</t>
  </si>
  <si>
    <t>ATWINE MASHA</t>
  </si>
  <si>
    <t>OBONG TOM</t>
  </si>
  <si>
    <t>PAUL BAITEBASSE</t>
  </si>
  <si>
    <t>OPIO TOM RICHARD</t>
  </si>
  <si>
    <t>KIARA MWEBARE</t>
  </si>
  <si>
    <t>KAKUBA JONATHAN</t>
  </si>
  <si>
    <t>TUSIIME LILIAN</t>
  </si>
  <si>
    <t>BAHURIIRE FRANCIS</t>
  </si>
  <si>
    <t>NANDUTU JOAN</t>
  </si>
  <si>
    <t>OLOKOJO RICHARD</t>
  </si>
  <si>
    <t>ISABELLA ASIIMWE</t>
  </si>
  <si>
    <t>ABRAHAM SHAURI</t>
  </si>
  <si>
    <t>SYLIVIA KATUSIIME</t>
  </si>
  <si>
    <t>NAMULONDO ALICE</t>
  </si>
  <si>
    <t>KAMULI</t>
  </si>
  <si>
    <t>JOSEPH ESASU</t>
  </si>
  <si>
    <t>OKELLO GODFREY</t>
  </si>
  <si>
    <t>LETASI JUDITH</t>
  </si>
  <si>
    <t>JOSIA AMWINE</t>
  </si>
  <si>
    <t>KOBUTESI JORDANAH</t>
  </si>
  <si>
    <t>KIYINGI PHILEMON</t>
  </si>
  <si>
    <t>AYEERWOI ROBERT</t>
  </si>
  <si>
    <t>AKELLO SUNDAY</t>
  </si>
  <si>
    <t>MUKAMARINDA PATIENCE</t>
  </si>
  <si>
    <t>NAKAWOOYA RACHEL</t>
  </si>
  <si>
    <t xml:space="preserve">DDUMULIRA AUGUSTINE </t>
  </si>
  <si>
    <t>WAKABI WAIRAGALA</t>
  </si>
  <si>
    <t>GUMPARU DANIEL</t>
  </si>
  <si>
    <t>APOLO PHIONAH</t>
  </si>
  <si>
    <t>WAISWA FRANK</t>
  </si>
  <si>
    <t>BUSINGYE ROBINAH</t>
  </si>
  <si>
    <t>TUSIIME CATHERINE</t>
  </si>
  <si>
    <t>AGASHA SHEILA</t>
  </si>
  <si>
    <t>MUKIRA MICHEAL</t>
  </si>
  <si>
    <t>NINSIIMA TYLER</t>
  </si>
  <si>
    <t>TREASURE ASIIMWE</t>
  </si>
  <si>
    <t>KEDRES AKANKWASA</t>
  </si>
  <si>
    <t>KAKUBA ANDREW</t>
  </si>
  <si>
    <t>MWENYWA NORBERT</t>
  </si>
  <si>
    <t>ASIIME EDINA</t>
  </si>
  <si>
    <t>ARINDA ALLAN</t>
  </si>
  <si>
    <t>AINOMUGISHA ANITAH</t>
  </si>
  <si>
    <t>NAKABILI VANESSA</t>
  </si>
  <si>
    <t>SSUBI CHRISTINE</t>
  </si>
  <si>
    <t>SEKASOOLO HASSAN</t>
  </si>
  <si>
    <t>NASIRUMBI STACY</t>
  </si>
  <si>
    <t>AMOLO BETTY</t>
  </si>
  <si>
    <t>AYELLA CEASER</t>
  </si>
  <si>
    <t>BABIRYE BOB</t>
  </si>
  <si>
    <t>ANPU MACKLINE</t>
  </si>
  <si>
    <t>NAGADYA DIANDRA</t>
  </si>
  <si>
    <t>SAKWA RAYMON</t>
  </si>
  <si>
    <t xml:space="preserve"> KAMULI</t>
  </si>
  <si>
    <t>BABIRYE CATHERINE</t>
  </si>
  <si>
    <t>NANTEZA ESTHER</t>
  </si>
  <si>
    <t>KANDOLI EDWARD</t>
  </si>
  <si>
    <t>GANZA MICHEAL</t>
  </si>
  <si>
    <t>RABWONI JESSE</t>
  </si>
  <si>
    <t>NANZIRI RITAH</t>
  </si>
  <si>
    <t>NAMAKANGA ALI</t>
  </si>
  <si>
    <t>AFUKURU JUSTINE</t>
  </si>
  <si>
    <t>AKAMPUMUZAOBED</t>
  </si>
  <si>
    <t>KOMUGISHA LORNA</t>
  </si>
  <si>
    <t>AINEBYONA PATRICIA</t>
  </si>
  <si>
    <t>ROBERT MUKASA</t>
  </si>
  <si>
    <t>KAMUSIME ZARIFAH</t>
  </si>
  <si>
    <t>KLA</t>
  </si>
  <si>
    <t>AYINEYAMANi ISMAIL</t>
  </si>
  <si>
    <t>TINDISEEGA RAPHAEL</t>
  </si>
  <si>
    <t>MUJUNI IVY KISTEN</t>
  </si>
  <si>
    <t>TUKAMUSIMA MACKLINE</t>
  </si>
  <si>
    <t>TWINEMATIKO DERICK</t>
  </si>
  <si>
    <t>MWANIKO MARTIN</t>
  </si>
  <si>
    <t>AYAN MARY AGNES</t>
  </si>
  <si>
    <t>OLABO DANIEL</t>
  </si>
  <si>
    <t>SSEKABWA GERALD</t>
  </si>
  <si>
    <t>NDAGIRE GLORIA</t>
  </si>
  <si>
    <t>KYONE AIDAN MARY</t>
  </si>
  <si>
    <t>NALULE ROSE</t>
  </si>
  <si>
    <t>TWENY HECTOR</t>
  </si>
  <si>
    <t>ADIL OMAR MUBIRU</t>
  </si>
  <si>
    <t>DIGOO FELIX</t>
  </si>
  <si>
    <t>KAKONGE IVAN</t>
  </si>
  <si>
    <t>ARINEITWE PHIONA</t>
  </si>
  <si>
    <t>NASSUNA MARIANE</t>
  </si>
  <si>
    <t>MULUNGI ABIGAIL</t>
  </si>
  <si>
    <t>KISEMBO EDGER</t>
  </si>
  <si>
    <t>AYIKO JOSHUA</t>
  </si>
  <si>
    <t>NAMYALO REGINA</t>
  </si>
  <si>
    <t>PIRWOTT RAYMOND</t>
  </si>
  <si>
    <t>NAKAYI AGNES</t>
  </si>
  <si>
    <t>KAYIWA RAPHAEL</t>
  </si>
  <si>
    <t>KALUNGI SEBASTIAN</t>
  </si>
  <si>
    <t>AKOTH</t>
  </si>
  <si>
    <t xml:space="preserve"> KLA</t>
  </si>
  <si>
    <t>NGAGISO THOMAS</t>
  </si>
  <si>
    <t>MUWONGE REMMY</t>
  </si>
  <si>
    <t>GISA DOREEN</t>
  </si>
  <si>
    <t>ULA AVDEY VANUS</t>
  </si>
  <si>
    <t>MITALA JAMSON</t>
  </si>
  <si>
    <t>KISAKYE EVELYN</t>
  </si>
  <si>
    <t>TENDO VALERE</t>
  </si>
  <si>
    <t>AYEBALIBWE JEREMIA</t>
  </si>
  <si>
    <t>ZIA KHALID</t>
  </si>
  <si>
    <t>MESCUS HARIMA</t>
  </si>
  <si>
    <t>WAISWA ROJAS</t>
  </si>
  <si>
    <t>SHALOM EZIA</t>
  </si>
  <si>
    <t xml:space="preserve">OPUS NELLY ERIC </t>
  </si>
  <si>
    <t>NASASIRA NAOME</t>
  </si>
  <si>
    <t>OGOMBE ISSA</t>
  </si>
  <si>
    <t>NAKATO SALIMA</t>
  </si>
  <si>
    <t xml:space="preserve"> AHURIRA FAITH</t>
  </si>
  <si>
    <t>KANSIIME NATALIE</t>
  </si>
  <si>
    <t>KAKULU IVAN</t>
  </si>
  <si>
    <t>NYANZI MARGRET</t>
  </si>
  <si>
    <t>KIRABO ABIGAIL</t>
  </si>
  <si>
    <t>ATIM PRISCILLAH</t>
  </si>
  <si>
    <t>AKELLO GLORIA</t>
  </si>
  <si>
    <t>MUKISA NANONO</t>
  </si>
  <si>
    <t>LIANG XIAN FENG</t>
  </si>
  <si>
    <t>MUTENGI IENA</t>
  </si>
  <si>
    <t>AMAL LEAH</t>
  </si>
  <si>
    <t>NALUBEGA FATUMA</t>
  </si>
  <si>
    <t>KYESSWA MARK</t>
  </si>
  <si>
    <t>MUWONGE SAVIO</t>
  </si>
  <si>
    <t>NSEREKO LAEO</t>
  </si>
  <si>
    <t>RWOTOMIO VICTOR</t>
  </si>
  <si>
    <t>TINKENDO CHRISTINE</t>
  </si>
  <si>
    <t xml:space="preserve">NAWETEME EVE </t>
  </si>
  <si>
    <t>SERUGGO PAULOUS</t>
  </si>
  <si>
    <t>NASSALI PATRICIA</t>
  </si>
  <si>
    <t>BARUGAHARE HILLARY</t>
  </si>
  <si>
    <t>KASEREMERWA CHARLOTE</t>
  </si>
  <si>
    <t>NAKACHWA JUDITH</t>
  </si>
  <si>
    <t>KIRA</t>
  </si>
  <si>
    <t>DONNA KABATESI</t>
  </si>
  <si>
    <t>EDWARD SEMUEYO</t>
  </si>
  <si>
    <t>LUBWAMA ISRAEL</t>
  </si>
  <si>
    <t>AKITWI VANESSA</t>
  </si>
  <si>
    <t>NKUMBI SAMSON</t>
  </si>
  <si>
    <t>MWESIGWA BRIAN</t>
  </si>
  <si>
    <t>ANGERINA NANTEBEGE</t>
  </si>
  <si>
    <t>MOHAMAD JOGI</t>
  </si>
  <si>
    <t>AYEBAZIBWE ELIJA</t>
  </si>
  <si>
    <t>KANYANTATE VERINA</t>
  </si>
  <si>
    <t>BAYIGE DIANA</t>
  </si>
  <si>
    <t>NANSUBUGA NASAH</t>
  </si>
  <si>
    <t xml:space="preserve">BUTALA ROBERT </t>
  </si>
  <si>
    <t>NABARA WISDOM</t>
  </si>
  <si>
    <t>KIGGUNDU CATHERINE</t>
  </si>
  <si>
    <t>MUGISHA AMAR</t>
  </si>
  <si>
    <t>ALUNYA BRIAN</t>
  </si>
  <si>
    <t>LUBWAMA ANTHONY</t>
  </si>
  <si>
    <t>KOBUSINGYE GRACE</t>
  </si>
  <si>
    <t xml:space="preserve">YOMA OWEN </t>
  </si>
  <si>
    <t>ARERENG FAVOUR</t>
  </si>
  <si>
    <t>NYAMWIZA RHONA</t>
  </si>
  <si>
    <t>TUMUSIIME JOHN</t>
  </si>
  <si>
    <t>KABANGO J BOSCO</t>
  </si>
  <si>
    <t>KASAGAMA EMMANUEL</t>
  </si>
  <si>
    <t>AYESIGWA HILDA</t>
  </si>
  <si>
    <t>KUSHABA PRECIOUS</t>
  </si>
  <si>
    <t>NSANGI ANGEL</t>
  </si>
  <si>
    <t>NYANYONGA AISHA</t>
  </si>
  <si>
    <t>KEMI ENID</t>
  </si>
  <si>
    <t>MWINE MARTIN</t>
  </si>
  <si>
    <t>KAWALYA DANIEL</t>
  </si>
  <si>
    <t>ATIYA CHARLES</t>
  </si>
  <si>
    <t>BAKOMEZA MARY</t>
  </si>
  <si>
    <t>MUKASA ANDREW</t>
  </si>
  <si>
    <t>AIDARI HUSSEIN</t>
  </si>
  <si>
    <t>KUTEESA RITAH</t>
  </si>
  <si>
    <t>BUKIRWA LUMALA</t>
  </si>
  <si>
    <t>NUWARASINA SAM</t>
  </si>
  <si>
    <t>ADEYITHO RICHARD</t>
  </si>
  <si>
    <t>TOKO GODWIN</t>
  </si>
  <si>
    <t>OTTO MICHEAL</t>
  </si>
  <si>
    <t>BIRUNGI RONALD</t>
  </si>
  <si>
    <t>MPANGA MEYAR</t>
  </si>
  <si>
    <t>ANNIE AMANI</t>
  </si>
  <si>
    <t xml:space="preserve">KANSIME ALEX </t>
  </si>
  <si>
    <t xml:space="preserve">NAWAZ TASHA </t>
  </si>
  <si>
    <t>OKURU FABULOUS</t>
  </si>
  <si>
    <t>KASIBANTE RONALD</t>
  </si>
  <si>
    <t>AKWESIGYE CEDRICk</t>
  </si>
  <si>
    <t>KEMIGISHA ELIZABETH</t>
  </si>
  <si>
    <t>BIRUNGI EDITH</t>
  </si>
  <si>
    <t>ABOT PEACE</t>
  </si>
  <si>
    <t>NABIKOLO BRIDGET</t>
  </si>
  <si>
    <t>RAJAH PJ</t>
  </si>
  <si>
    <t>OMUTE JAMES</t>
  </si>
  <si>
    <t>NALUKWAGO CHRISTINE</t>
  </si>
  <si>
    <t>MUWOOLA KITIMBWA</t>
  </si>
  <si>
    <t>WANYONA ELEANER</t>
  </si>
  <si>
    <t>MBEIZA MELAINE</t>
  </si>
  <si>
    <t>MARTINA KISAKYE</t>
  </si>
  <si>
    <t>MUWANGUZI PRIME FAVOUR</t>
  </si>
  <si>
    <t>MWESIGWA MARK</t>
  </si>
  <si>
    <t>MUGUVIRI DAVID</t>
  </si>
  <si>
    <t>OPIYO NELSON</t>
  </si>
  <si>
    <t>MUSUMBA MARTHIAS</t>
  </si>
  <si>
    <t>AKURUT DOROTHY</t>
  </si>
  <si>
    <t>ATUGOOZA ANITA EDITH</t>
  </si>
  <si>
    <t>NAMUGENYI</t>
  </si>
  <si>
    <t>KITORO</t>
  </si>
  <si>
    <t>MARARO VICKY</t>
  </si>
  <si>
    <t>ADRIKO TIOHO</t>
  </si>
  <si>
    <t>MBUYA</t>
  </si>
  <si>
    <t>ADUKO JOSEPH</t>
  </si>
  <si>
    <t>SHADRAK EDULA</t>
  </si>
  <si>
    <t>KAMPALA</t>
  </si>
  <si>
    <t>ZAITUNI</t>
  </si>
  <si>
    <t>ABUDU</t>
  </si>
  <si>
    <t>NAMUGONGO</t>
  </si>
  <si>
    <t>AGGNY</t>
  </si>
  <si>
    <t>AKASIGURA ISABARAH</t>
  </si>
  <si>
    <t>AKIKI COMFORT</t>
  </si>
  <si>
    <t>MAKINDYE</t>
  </si>
  <si>
    <t>ALBERT GATUYO</t>
  </si>
  <si>
    <t>ALLANA SARANDA</t>
  </si>
  <si>
    <t>ANDREW</t>
  </si>
  <si>
    <t>AGABA COLLINS</t>
  </si>
  <si>
    <t>OSABA COLLINS</t>
  </si>
  <si>
    <t>GRACE NYAMBOGO</t>
  </si>
  <si>
    <t>MAUREEN</t>
  </si>
  <si>
    <t>GRACE</t>
  </si>
  <si>
    <t>ANITTA</t>
  </si>
  <si>
    <t>KISUBI</t>
  </si>
  <si>
    <t>ARONE</t>
  </si>
  <si>
    <t>ASHIRAFU</t>
  </si>
  <si>
    <t>BABARAH</t>
  </si>
  <si>
    <t>BUSHIRA</t>
  </si>
  <si>
    <t>KIREKA</t>
  </si>
  <si>
    <t>BEN</t>
  </si>
  <si>
    <t>SEMPALA DAVID</t>
  </si>
  <si>
    <t>JAMILA</t>
  </si>
  <si>
    <t>GIDEON</t>
  </si>
  <si>
    <t>BOAZ</t>
  </si>
  <si>
    <t>DOUGLAS</t>
  </si>
  <si>
    <t>ABDULLA</t>
  </si>
  <si>
    <t>WAKISO</t>
  </si>
  <si>
    <t>ABDIRI</t>
  </si>
  <si>
    <t>AGGRY</t>
  </si>
  <si>
    <t>SAMUEL</t>
  </si>
  <si>
    <t>KITENDE</t>
  </si>
  <si>
    <t>COMFORT</t>
  </si>
  <si>
    <t>ZZANA</t>
  </si>
  <si>
    <t>ALLAN</t>
  </si>
  <si>
    <t>NAMULANDA</t>
  </si>
  <si>
    <t>ANITA</t>
  </si>
  <si>
    <t>ASHA</t>
  </si>
  <si>
    <t>BARBRAH</t>
  </si>
  <si>
    <t>FAITH</t>
  </si>
  <si>
    <t>BEST</t>
  </si>
  <si>
    <t>BETTY</t>
  </si>
  <si>
    <t>BRENDA</t>
  </si>
  <si>
    <t>BYARUHANGA</t>
  </si>
  <si>
    <t>BYAMUNGO</t>
  </si>
  <si>
    <t>CAROL</t>
  </si>
  <si>
    <t>CHALAT</t>
  </si>
  <si>
    <t>ATWAWASE PENIN</t>
  </si>
  <si>
    <t>BUSABAGA</t>
  </si>
  <si>
    <t>BADIRU</t>
  </si>
  <si>
    <t>NANSUBUGA JOAN</t>
  </si>
  <si>
    <t xml:space="preserve">CHRISTINE </t>
  </si>
  <si>
    <t>PHINA</t>
  </si>
  <si>
    <t>KAMAHANGA SHAKIRAH</t>
  </si>
  <si>
    <t>SAULA NIWABINE</t>
  </si>
  <si>
    <t>WASWA SAMUEL</t>
  </si>
  <si>
    <t>KAWAKU</t>
  </si>
  <si>
    <t>KATO DAN</t>
  </si>
  <si>
    <t xml:space="preserve">KAMPALA </t>
  </si>
  <si>
    <t xml:space="preserve">ABDULLAH </t>
  </si>
  <si>
    <t xml:space="preserve">KITALA </t>
  </si>
  <si>
    <t xml:space="preserve">COMFORT </t>
  </si>
  <si>
    <t>GAFAYO</t>
  </si>
  <si>
    <t>LWEZA</t>
  </si>
  <si>
    <t>ANITTA PRETTY</t>
  </si>
  <si>
    <t>BARBARAH</t>
  </si>
  <si>
    <t xml:space="preserve">JONAH </t>
  </si>
  <si>
    <t xml:space="preserve">CHARLES </t>
  </si>
  <si>
    <t>KYENGERA</t>
  </si>
  <si>
    <t xml:space="preserve">COLLINS </t>
  </si>
  <si>
    <t xml:space="preserve">MAKINDYE </t>
  </si>
  <si>
    <t xml:space="preserve">GRACE </t>
  </si>
  <si>
    <t>IMELDA</t>
  </si>
  <si>
    <t>JACK</t>
  </si>
  <si>
    <t xml:space="preserve">ENTEBBE </t>
  </si>
  <si>
    <t xml:space="preserve">AARON </t>
  </si>
  <si>
    <t>JOVIA</t>
  </si>
  <si>
    <t xml:space="preserve">LUGONJO </t>
  </si>
  <si>
    <t>MERCY</t>
  </si>
  <si>
    <t>SAM</t>
  </si>
  <si>
    <t>BUBULI</t>
  </si>
  <si>
    <t>ANNAH</t>
  </si>
  <si>
    <t>MONICA</t>
  </si>
  <si>
    <t>BAHATI</t>
  </si>
  <si>
    <t>BARBARA</t>
  </si>
  <si>
    <t xml:space="preserve">BRIGHT </t>
  </si>
  <si>
    <t xml:space="preserve">KATABI </t>
  </si>
  <si>
    <t>BRITNY</t>
  </si>
  <si>
    <t>TINA</t>
  </si>
  <si>
    <t xml:space="preserve">KITOLO </t>
  </si>
  <si>
    <t>DOREEN</t>
  </si>
  <si>
    <t>ESTER</t>
  </si>
  <si>
    <t>EVA</t>
  </si>
  <si>
    <t xml:space="preserve">BUSAMBAGA </t>
  </si>
  <si>
    <t>EVELYN</t>
  </si>
  <si>
    <t xml:space="preserve">JOAN </t>
  </si>
  <si>
    <t>FARIDA</t>
  </si>
  <si>
    <t>MOUREEN</t>
  </si>
  <si>
    <t>HELLEN</t>
  </si>
  <si>
    <t>MANYAGO</t>
  </si>
  <si>
    <t>JEDDY</t>
  </si>
  <si>
    <t xml:space="preserve">KITORO </t>
  </si>
  <si>
    <t>JOSLYN</t>
  </si>
  <si>
    <t xml:space="preserve">BUBULI </t>
  </si>
  <si>
    <t>JOVAN</t>
  </si>
  <si>
    <t>ALONDA BRENDA</t>
  </si>
  <si>
    <t>NAKITTO MONICA</t>
  </si>
  <si>
    <t xml:space="preserve">NKUMBA </t>
  </si>
  <si>
    <t>NANDIRE BABRA</t>
  </si>
  <si>
    <t>ZAHARA BETTY</t>
  </si>
  <si>
    <t>ANGELLA CLARKS</t>
  </si>
  <si>
    <t>ASIIMWE JANE</t>
  </si>
  <si>
    <t xml:space="preserve">NAKAMWANYI FAITH </t>
  </si>
  <si>
    <t>NAKIKOOLA DAPHINE</t>
  </si>
  <si>
    <t>RITAH PRETAH</t>
  </si>
  <si>
    <t>NAGOGGO PETER</t>
  </si>
  <si>
    <t>MUMAALI ALEX</t>
  </si>
  <si>
    <t>BWAISE</t>
  </si>
  <si>
    <t>NAMWANJE GLORIA</t>
  </si>
  <si>
    <t xml:space="preserve">BWAISE </t>
  </si>
  <si>
    <t xml:space="preserve">SEMANDA EDDIE </t>
  </si>
  <si>
    <t xml:space="preserve">MANDE IVAN </t>
  </si>
  <si>
    <t>ZAINA ANNET</t>
  </si>
  <si>
    <t>NAWENYA SHAKIRA</t>
  </si>
  <si>
    <t>KANKANKA MARVIN</t>
  </si>
  <si>
    <t>KALULE GODFREY</t>
  </si>
  <si>
    <t>SSENDAGIRE ROUSLAND</t>
  </si>
  <si>
    <t>MUHANGUZI PETER</t>
  </si>
  <si>
    <t>BANGA</t>
  </si>
  <si>
    <t>OVON ALEX</t>
  </si>
  <si>
    <t xml:space="preserve">NAMIIRO RITAH </t>
  </si>
  <si>
    <t>NABIRYA SANDRA</t>
  </si>
  <si>
    <t>MUHENDO DOREEN</t>
  </si>
  <si>
    <t>NAKISENDI IREN</t>
  </si>
  <si>
    <t>NAMWANDA LILLIAN</t>
  </si>
  <si>
    <t>NAKATO NURUH</t>
  </si>
  <si>
    <t>MUSINGUZI ROBERT</t>
  </si>
  <si>
    <t>NAKIBUKA IRENE</t>
  </si>
  <si>
    <t>DDEMBE SIMON</t>
  </si>
  <si>
    <t xml:space="preserve">NAKIWOGO </t>
  </si>
  <si>
    <t xml:space="preserve">TUWEREZE HARRIET </t>
  </si>
  <si>
    <t>KATENDE FRED</t>
  </si>
  <si>
    <t>NALWANJA MARGRET</t>
  </si>
  <si>
    <t xml:space="preserve">SANYU LYDIA </t>
  </si>
  <si>
    <t>NALWEYISO ESTER</t>
  </si>
  <si>
    <t>TALEMWA PIAS</t>
  </si>
  <si>
    <t>MUHUNGUZI DERRICK</t>
  </si>
  <si>
    <t>BYAMUHANGI PETER</t>
  </si>
  <si>
    <t>MUKISA YASIN</t>
  </si>
  <si>
    <t>SSENYONGA ISA</t>
  </si>
  <si>
    <t>KASATO</t>
  </si>
  <si>
    <t>WASWA</t>
  </si>
  <si>
    <t>NANTUME SHAKIRA</t>
  </si>
  <si>
    <t xml:space="preserve">KAMYA JAMES </t>
  </si>
  <si>
    <t>KASOLO MARTIN</t>
  </si>
  <si>
    <t>NAKALANZI FATUMA</t>
  </si>
  <si>
    <t>NSABA BASHIR</t>
  </si>
  <si>
    <t>MULINDWA STEVEN</t>
  </si>
  <si>
    <t>NAKAKANDE BETTY</t>
  </si>
  <si>
    <t xml:space="preserve">KISEMBI </t>
  </si>
  <si>
    <t>MUKASA PHILIP</t>
  </si>
  <si>
    <t xml:space="preserve">NAMULEME IRENE </t>
  </si>
  <si>
    <t>NALUGA MARGRET</t>
  </si>
  <si>
    <t>NAMIYINGO JACKLINE</t>
  </si>
  <si>
    <t>SSELUGO ADRIAN</t>
  </si>
  <si>
    <t xml:space="preserve">KINTU FRANK </t>
  </si>
  <si>
    <t xml:space="preserve">LUYINDA MARVIN </t>
  </si>
  <si>
    <t>TUMWEBAZE GODFREY</t>
  </si>
  <si>
    <t xml:space="preserve">KALEMA ISA </t>
  </si>
  <si>
    <t>KIMBUGWE ALLAN</t>
  </si>
  <si>
    <t>KITOORO</t>
  </si>
  <si>
    <t>NAMIYINGO GIREN</t>
  </si>
  <si>
    <t>NAMUYIMBWA ALLEN</t>
  </si>
  <si>
    <t xml:space="preserve">KIMBOWA JOHN </t>
  </si>
  <si>
    <t>NAMATIMBO JOWEREN</t>
  </si>
  <si>
    <t>NABWETEME ALLONIN</t>
  </si>
  <si>
    <t>TUSHABE SHAMIM</t>
  </si>
  <si>
    <t>KIGAMBWE AMOS</t>
  </si>
  <si>
    <t>NABUKEERA CISSY</t>
  </si>
  <si>
    <t xml:space="preserve">KINYALWANDA </t>
  </si>
  <si>
    <t>BUKENYA RONALD</t>
  </si>
  <si>
    <t>KAWBA GORRETI</t>
  </si>
  <si>
    <t>KADDIDDI MONICA</t>
  </si>
  <si>
    <t>NAMBI AMANDA</t>
  </si>
  <si>
    <t>NAMBOOZE ANNE</t>
  </si>
  <si>
    <t>OCHAN ALEX</t>
  </si>
  <si>
    <t xml:space="preserve">KALUME GODFREY </t>
  </si>
  <si>
    <t>KIGUNDU JOHN</t>
  </si>
  <si>
    <t>NALUNGA ANITTA</t>
  </si>
  <si>
    <t xml:space="preserve">KASIRIVU IVAN </t>
  </si>
  <si>
    <t>NANNOBE DOREEN</t>
  </si>
  <si>
    <t>KALEMA MATOVU</t>
  </si>
  <si>
    <t>BENDEGERE</t>
  </si>
  <si>
    <t xml:space="preserve">NABUKEERA HARRIET </t>
  </si>
  <si>
    <t>SSEMAKADDE VICENT</t>
  </si>
  <si>
    <t xml:space="preserve">BENDEGERE </t>
  </si>
  <si>
    <t>MIREMBE BETTY</t>
  </si>
  <si>
    <t>KAWEMBA DICKSON</t>
  </si>
  <si>
    <t>JJUUKO SIMON</t>
  </si>
  <si>
    <t>ZAWEDDE SHAMIM</t>
  </si>
  <si>
    <t>KAGGWA PAUL</t>
  </si>
  <si>
    <t xml:space="preserve">SSESSANGA JOSEPH </t>
  </si>
  <si>
    <t>DDUMBA ANDREW</t>
  </si>
  <si>
    <t>LULE RASHID</t>
  </si>
  <si>
    <t xml:space="preserve">KIZZA EMMANUEL </t>
  </si>
  <si>
    <t>KATUMBA DENIS</t>
  </si>
  <si>
    <t>NAMULI SHARON</t>
  </si>
  <si>
    <t>MATOVU TONNY</t>
  </si>
  <si>
    <t>SSENTAMU RICHARD</t>
  </si>
  <si>
    <t>NAKANWAGI PENINA</t>
  </si>
  <si>
    <t>NAMULINDWA OLIVIA</t>
  </si>
  <si>
    <t>KALUNJI RECHEAL</t>
  </si>
  <si>
    <t xml:space="preserve">MUTEBI WILLIAM </t>
  </si>
  <si>
    <t>MUGERWA ANDREW</t>
  </si>
  <si>
    <t>ASIIMWE RIGAN</t>
  </si>
  <si>
    <t>NABINEZA RUTH</t>
  </si>
  <si>
    <t xml:space="preserve">NATUMANYA COLLINS </t>
  </si>
  <si>
    <t>LUBEGA EDWARD</t>
  </si>
  <si>
    <t>MPALA</t>
  </si>
  <si>
    <t>MUHUMUZA NICHOLAS</t>
  </si>
  <si>
    <t>NAMBOZO GIFT</t>
  </si>
  <si>
    <t>NANTONGO ANNET</t>
  </si>
  <si>
    <t xml:space="preserve">NACHWERE MARTHA </t>
  </si>
  <si>
    <t>NINSIMA EVA</t>
  </si>
  <si>
    <t>NANGOZI MADINA</t>
  </si>
  <si>
    <t>MATOVU RICHARD</t>
  </si>
  <si>
    <t>ANOHRE</t>
  </si>
  <si>
    <t>MUSIGIRE DAVID</t>
  </si>
  <si>
    <t>NABWIRE ANNET</t>
  </si>
  <si>
    <t>LYAMUTUNDWE</t>
  </si>
  <si>
    <t xml:space="preserve">SSEMULUMBA MARVIN </t>
  </si>
  <si>
    <t>LYAMUTUNDE</t>
  </si>
  <si>
    <t xml:space="preserve">NALONGO FLORENCE </t>
  </si>
  <si>
    <t>MOSES ERONI</t>
  </si>
  <si>
    <t xml:space="preserve">LYAMUTUNDWE </t>
  </si>
  <si>
    <t>AINEMBAZI ARISON</t>
  </si>
  <si>
    <t>NANSUBUGA REGINA</t>
  </si>
  <si>
    <t>KISAKYE ESTHER</t>
  </si>
  <si>
    <t>MAGALA</t>
  </si>
  <si>
    <t>FAZIL MAWEJJE</t>
  </si>
  <si>
    <t>KABAMA SHAFIC</t>
  </si>
  <si>
    <t>KIGONJO</t>
  </si>
  <si>
    <t>ARINAITWE RONALD</t>
  </si>
  <si>
    <t>NYAKATO ROBINAH</t>
  </si>
  <si>
    <t>SSENTOGO BILLY</t>
  </si>
  <si>
    <t>MUJJUZI HAKIM</t>
  </si>
  <si>
    <t xml:space="preserve">NAMUGENYI NATASHA </t>
  </si>
  <si>
    <t>MIREMBE RASHIM</t>
  </si>
  <si>
    <t xml:space="preserve">LUBEGA CHARLES </t>
  </si>
  <si>
    <t>SAMURAI MOUREEN</t>
  </si>
  <si>
    <t xml:space="preserve">JONAH TAMALE </t>
  </si>
  <si>
    <t>AYEBAZIBWE ANDREW</t>
  </si>
  <si>
    <t>TINA GIMONO</t>
  </si>
  <si>
    <t>NANYANZI SUMAYIYA</t>
  </si>
  <si>
    <t>MUGANZA ISAAC</t>
  </si>
  <si>
    <t>MUSINGUZI LILLIAN</t>
  </si>
  <si>
    <t>kATABI</t>
  </si>
  <si>
    <t>MBAZUDDE MARIAM</t>
  </si>
  <si>
    <t>KIKONGO BONNI FINANCE</t>
  </si>
  <si>
    <t>GRACE ASIANAT</t>
  </si>
  <si>
    <t>BASABAGA</t>
  </si>
  <si>
    <t>TUSHABE BRIAN</t>
  </si>
  <si>
    <t>TUMUSIME NICHOLAS</t>
  </si>
  <si>
    <t>AINE MANI GEDEON</t>
  </si>
  <si>
    <t>MATOVU DALAUS</t>
  </si>
  <si>
    <t>MIKE MUWAGUZI</t>
  </si>
  <si>
    <t>NAKAWUKI WINNIEFRED</t>
  </si>
  <si>
    <t>TEDY NAKIVUMBI</t>
  </si>
  <si>
    <t>NAKYANZI IREEN</t>
  </si>
  <si>
    <t>KIWAFU EAST</t>
  </si>
  <si>
    <t xml:space="preserve">YoACHEL INNOCENT </t>
  </si>
  <si>
    <t>JOSEPH TUMWINE</t>
  </si>
  <si>
    <t>AMOS KAMYESIGYE</t>
  </si>
  <si>
    <t>KAYUWA ALEX</t>
  </si>
  <si>
    <t>NABYALO PHIONAH</t>
  </si>
  <si>
    <t>MALEMO ABUDALAH</t>
  </si>
  <si>
    <t xml:space="preserve">KEMIGISHA IMMACULATE </t>
  </si>
  <si>
    <t>FASHAN PASCA</t>
  </si>
  <si>
    <t>KATUSIME MAUDA</t>
  </si>
  <si>
    <t>SHARON NANTEZA</t>
  </si>
  <si>
    <t>NABULUMBA SANDRA</t>
  </si>
  <si>
    <t>MBABAZI MARGRET</t>
  </si>
  <si>
    <t>NAKABANDA VIOLA</t>
  </si>
  <si>
    <t>MUBIRU FRANK</t>
  </si>
  <si>
    <t>MARIAM NAMUYINGWA</t>
  </si>
  <si>
    <t>WASWA BASHIRU</t>
  </si>
  <si>
    <t>ODONGO KAMADA</t>
  </si>
  <si>
    <t xml:space="preserve">MARK ISAAC </t>
  </si>
  <si>
    <t xml:space="preserve">NSUBUGA JOHN </t>
  </si>
  <si>
    <t>ATWIJUKIRE MARVIN</t>
  </si>
  <si>
    <t>WENAMANYA PATRICIA</t>
  </si>
  <si>
    <t>KALINDA DOUGLAS</t>
  </si>
  <si>
    <t>MUBEEZI YAKIN</t>
  </si>
  <si>
    <t xml:space="preserve">MWESIGWE MARTIN </t>
  </si>
  <si>
    <t xml:space="preserve">SSEWANTE JOSEPH </t>
  </si>
  <si>
    <t xml:space="preserve">SMITH ARINAITWE </t>
  </si>
  <si>
    <t>NAMUTEBI DIANA</t>
  </si>
  <si>
    <t>TUMUHIMBISE ALLEN</t>
  </si>
  <si>
    <t xml:space="preserve">PROSSY ROSEMARY </t>
  </si>
  <si>
    <t>NAJUNA RUTH</t>
  </si>
  <si>
    <t xml:space="preserve">JONATHAN LUBEGA </t>
  </si>
  <si>
    <t>RURANGWA SHADROCK</t>
  </si>
  <si>
    <t>ESTHER MUYAMU</t>
  </si>
  <si>
    <t>TUGUME ALEX</t>
  </si>
  <si>
    <t>CATHY NAKYANZI</t>
  </si>
  <si>
    <t xml:space="preserve">NAKASITA BETTY </t>
  </si>
  <si>
    <t xml:space="preserve">TUKAMUSHABE PRAISE </t>
  </si>
  <si>
    <t xml:space="preserve">ORYEM IMMACULATE </t>
  </si>
  <si>
    <t xml:space="preserve">BUNONO </t>
  </si>
  <si>
    <t>SSENYONDO NYANSIO</t>
  </si>
  <si>
    <t>BYARUHANGE SHAFIK</t>
  </si>
  <si>
    <t>SSEMWANGA EMANUEL</t>
  </si>
  <si>
    <t>YIGA UMAR</t>
  </si>
  <si>
    <t xml:space="preserve">TWIKIRIZE STUART </t>
  </si>
  <si>
    <t>SSALI MUSLIM</t>
  </si>
  <si>
    <t>ATUHIRE ROSE</t>
  </si>
  <si>
    <t>KIRUMIRA TIMOTHY</t>
  </si>
  <si>
    <t>RONALD SSEMBABULE</t>
  </si>
  <si>
    <t xml:space="preserve">BAITA </t>
  </si>
  <si>
    <t xml:space="preserve">OCHWO DERRICK </t>
  </si>
  <si>
    <t>SAMUEL RICHARD</t>
  </si>
  <si>
    <t>SSEBULIME ABDUL</t>
  </si>
  <si>
    <t>NAMUSOKE RUTH</t>
  </si>
  <si>
    <t xml:space="preserve">ATUBIKYIRE LUCKY </t>
  </si>
  <si>
    <t>KIGUNGU</t>
  </si>
  <si>
    <t xml:space="preserve">MATOVU JOSEPH </t>
  </si>
  <si>
    <t xml:space="preserve">OLUKA JAMES PETER </t>
  </si>
  <si>
    <t xml:space="preserve">MUKODA COLLINS </t>
  </si>
  <si>
    <t>KIBUKA MOSES</t>
  </si>
  <si>
    <t xml:space="preserve">TUMUHIRWE CHARLES </t>
  </si>
  <si>
    <t>HENRY MUKIBI</t>
  </si>
  <si>
    <t>MERCY NAMAGANDA</t>
  </si>
  <si>
    <t>BAYITA</t>
  </si>
  <si>
    <t>BAWONGE AHMED</t>
  </si>
  <si>
    <t xml:space="preserve">KIWAFU CENTRAL </t>
  </si>
  <si>
    <t>SSEMPA BONNY</t>
  </si>
  <si>
    <t xml:space="preserve">NSUBUGA DERRICK </t>
  </si>
  <si>
    <t xml:space="preserve">KHALID NSUBUGA </t>
  </si>
  <si>
    <t xml:space="preserve">KASIM NSUBUGA </t>
  </si>
  <si>
    <t xml:space="preserve">ONENBANWOTH SAVIOR </t>
  </si>
  <si>
    <t xml:space="preserve">BWUMA SHAFIK </t>
  </si>
  <si>
    <t xml:space="preserve">VIRUS </t>
  </si>
  <si>
    <t>MUGANGA FREDRICK</t>
  </si>
  <si>
    <t>MUCUNGUZI JOHNSON</t>
  </si>
  <si>
    <t>NIWANDINDA BORIS</t>
  </si>
  <si>
    <t xml:space="preserve">AHUMUZA BRIAN </t>
  </si>
  <si>
    <t>TUKAAHABURA PIUS</t>
  </si>
  <si>
    <t>NANSUBUGA SHAMIRA</t>
  </si>
  <si>
    <t xml:space="preserve">NAMUGERWA RITAH </t>
  </si>
  <si>
    <t>SSELWADA TIMOTHY</t>
  </si>
  <si>
    <t xml:space="preserve">KANGABA GABRIEL </t>
  </si>
  <si>
    <t xml:space="preserve">NAZIWA IRENE </t>
  </si>
  <si>
    <t>LUKWAGO SULITE</t>
  </si>
  <si>
    <t>KYARIKUNDA SIANA</t>
  </si>
  <si>
    <t xml:space="preserve">MUGISHA EMMANUEL </t>
  </si>
  <si>
    <t>ALICE</t>
  </si>
  <si>
    <t>AINEBYONA MARK</t>
  </si>
  <si>
    <t xml:space="preserve">BATURUMAYO TRACK </t>
  </si>
  <si>
    <t>BARBRA BYAGONDA</t>
  </si>
  <si>
    <t xml:space="preserve">ARINAITWE JOSEPHINE </t>
  </si>
  <si>
    <t xml:space="preserve">SSALI CHARLES </t>
  </si>
  <si>
    <t xml:space="preserve">MUBIRU DAVID </t>
  </si>
  <si>
    <t xml:space="preserve">KYOBE FRANCIS </t>
  </si>
  <si>
    <t>AKANGWANAHO AMOS</t>
  </si>
  <si>
    <t>PETER KAYONGO</t>
  </si>
  <si>
    <t xml:space="preserve">MULINDWA DAVIS </t>
  </si>
  <si>
    <t xml:space="preserve">KASITA GERALD </t>
  </si>
  <si>
    <t>KYOSABA JANAT</t>
  </si>
  <si>
    <t>NANKYA LILIAN</t>
  </si>
  <si>
    <t>RIGAN LUKWAGO</t>
  </si>
  <si>
    <t>MUTESI GORRET</t>
  </si>
  <si>
    <t>AISNA NAMAKULA</t>
  </si>
  <si>
    <t>BAIYITA</t>
  </si>
  <si>
    <t>NANKABIRWA BERINDA</t>
  </si>
  <si>
    <t>NAGASHA DALLEN</t>
  </si>
  <si>
    <t>NANKYA DIANAH</t>
  </si>
  <si>
    <t>NAKAWEESI SHAKIRA</t>
  </si>
  <si>
    <t>NABADA FLAVIOR</t>
  </si>
  <si>
    <t>NAIGAHA BRENDA</t>
  </si>
  <si>
    <t>ALYORU SCOVIA</t>
  </si>
  <si>
    <t xml:space="preserve">MUKWAYA GODFREY </t>
  </si>
  <si>
    <t>SSEMPIJJA LEVI</t>
  </si>
  <si>
    <t>SSEMWOGERERE</t>
  </si>
  <si>
    <t xml:space="preserve">MUBANYIZI INNOCENT </t>
  </si>
  <si>
    <t>BUNYONYO</t>
  </si>
  <si>
    <t>MUBANGIZI ONESMAS</t>
  </si>
  <si>
    <t>BIGOBWAMUKAMA ROLAND</t>
  </si>
  <si>
    <t xml:space="preserve">KIGUNGU </t>
  </si>
  <si>
    <t>NIWASIMA DAMSON</t>
  </si>
  <si>
    <t>NORAH KABARI</t>
  </si>
  <si>
    <t>REBECCA TAYEBWA</t>
  </si>
  <si>
    <t>MWANJE ROWLONCE</t>
  </si>
  <si>
    <t>ALOKA BARBARA</t>
  </si>
  <si>
    <t>NAMYALA IREEN</t>
  </si>
  <si>
    <t>ALUKA MARIAM</t>
  </si>
  <si>
    <t>MIREMBE RESTY</t>
  </si>
  <si>
    <t>KOMUHENDO BEST</t>
  </si>
  <si>
    <t>ACHEN SARAH GRACE</t>
  </si>
  <si>
    <t>NASULU MUWALABA</t>
  </si>
  <si>
    <t xml:space="preserve">KABAGAMBE PROSSY </t>
  </si>
  <si>
    <t>AGABA HERBERT</t>
  </si>
  <si>
    <t>BAZIO WINNIE</t>
  </si>
  <si>
    <t>MAGEMBE SHARIF</t>
  </si>
  <si>
    <t>NABATANZI TEOPISTA</t>
  </si>
  <si>
    <t>NABUKENYA HASIFA</t>
  </si>
  <si>
    <t>KIPLIMO GEOFREY</t>
  </si>
  <si>
    <t>BAMURANGYE SHARON</t>
  </si>
  <si>
    <t xml:space="preserve"> GULIBWA ENOCK</t>
  </si>
  <si>
    <t>WIZZY SKY</t>
  </si>
  <si>
    <t>ABAITA</t>
  </si>
  <si>
    <t xml:space="preserve">MAGOBA RONALD </t>
  </si>
  <si>
    <t>TUMUSIIME FRED</t>
  </si>
  <si>
    <t xml:space="preserve">AHIMBASIBWE MARTIN </t>
  </si>
  <si>
    <t>NALUZZI ENIDY</t>
  </si>
  <si>
    <t xml:space="preserve">MUBEJA DAVIS </t>
  </si>
  <si>
    <t>HOPE TWONGIRWE</t>
  </si>
  <si>
    <t xml:space="preserve">CICY ALOMBO </t>
  </si>
  <si>
    <t>ISMA MUSOZI</t>
  </si>
  <si>
    <t>MUTEBI ARAFAT</t>
  </si>
  <si>
    <t>ABUMUSA KADUYI</t>
  </si>
  <si>
    <t>KEVIN NIWASIMA</t>
  </si>
  <si>
    <t>MOSES KRISTOFA</t>
  </si>
  <si>
    <t xml:space="preserve">WILLIAM </t>
  </si>
  <si>
    <t xml:space="preserve">RWABUSHIJA INNOCENT </t>
  </si>
  <si>
    <t xml:space="preserve">GUMISIRIZA JOHN </t>
  </si>
  <si>
    <t>PAUL SSEMANDA</t>
  </si>
  <si>
    <t xml:space="preserve">MULUNGI ROBERT </t>
  </si>
  <si>
    <t xml:space="preserve">KYISA HENRY </t>
  </si>
  <si>
    <t>BRIAN ATUKWASE</t>
  </si>
  <si>
    <t>KAWANGUZI ISIKO</t>
  </si>
  <si>
    <t>JUMA MAWADA</t>
  </si>
  <si>
    <t xml:space="preserve">TAYEBWA ISAAC </t>
  </si>
  <si>
    <t>MULONZI JOSH</t>
  </si>
  <si>
    <t>BUGONGA</t>
  </si>
  <si>
    <t>JOEL MUKISA</t>
  </si>
  <si>
    <t xml:space="preserve">NANKINGA SHAKIRA </t>
  </si>
  <si>
    <t>FARUKU MBAGO</t>
  </si>
  <si>
    <t>NYAKISIKI SHILLAH</t>
  </si>
  <si>
    <t>LUKWAGO FARUKU</t>
  </si>
  <si>
    <t>KASUMBA DEO</t>
  </si>
  <si>
    <t>OPIO FRED</t>
  </si>
  <si>
    <t>AMOS MWESIGWA</t>
  </si>
  <si>
    <t>NAMUWONGE WINNIE</t>
  </si>
  <si>
    <t>BASHIR MUTEBI</t>
  </si>
  <si>
    <t xml:space="preserve">KISE EZEKIEL </t>
  </si>
  <si>
    <t xml:space="preserve">MUSANJE RAYMOND </t>
  </si>
  <si>
    <t>LUBEGA DANIEL</t>
  </si>
  <si>
    <t>NSUBUGA ENOCK</t>
  </si>
  <si>
    <t>KAFUMBE SAYIDI</t>
  </si>
  <si>
    <t>KISAKYE SUSAN</t>
  </si>
  <si>
    <t>NSUBUGA HEZEKIEL</t>
  </si>
  <si>
    <t>GALULA RONALD</t>
  </si>
  <si>
    <t xml:space="preserve">JULIUS MATOVU </t>
  </si>
  <si>
    <t xml:space="preserve">TUKAMUHELOWA DANIEL </t>
  </si>
  <si>
    <t>AHIMBISIBWE DEUS</t>
  </si>
  <si>
    <t>KABAKAMA RECHEAL</t>
  </si>
  <si>
    <t xml:space="preserve">NAMUKWAYA FLORENCE </t>
  </si>
  <si>
    <t xml:space="preserve">MWESIGWA JULIUS </t>
  </si>
  <si>
    <t>ACIRU JUDITH</t>
  </si>
  <si>
    <t xml:space="preserve">WANYENA PROSSY </t>
  </si>
  <si>
    <t>BONABANA DINNAH</t>
  </si>
  <si>
    <t>KAVUMA ROGER</t>
  </si>
  <si>
    <t>NINSIIMA STELLA</t>
  </si>
  <si>
    <t>ZAHARAN KENYANGE</t>
  </si>
  <si>
    <t>MUNYEGERA SULAIMAN</t>
  </si>
  <si>
    <t>STEVEN OWINO</t>
  </si>
  <si>
    <t>TUMUSHABE JULIET</t>
  </si>
  <si>
    <t>ADAH NIMUKUNDA</t>
  </si>
  <si>
    <t>PATRICK SEBUYONDO</t>
  </si>
  <si>
    <t>CARLO NANYONGA</t>
  </si>
  <si>
    <t xml:space="preserve">MPALA </t>
  </si>
  <si>
    <t xml:space="preserve">KWAGALA JOAN </t>
  </si>
  <si>
    <t xml:space="preserve">MUTYABA DANIEL </t>
  </si>
  <si>
    <t>SIMON SILIKUBWAMU</t>
  </si>
  <si>
    <t>NAMUGENYI AGNES</t>
  </si>
  <si>
    <t xml:space="preserve">MUTONI SHARON </t>
  </si>
  <si>
    <t>SSEMWEZI HAKIM</t>
  </si>
  <si>
    <t>ANNAH NANTUME</t>
  </si>
  <si>
    <t xml:space="preserve">ASIIMWE BRIAN </t>
  </si>
  <si>
    <t>RITA LUTAYA</t>
  </si>
  <si>
    <t xml:space="preserve">SSENTOGO JORDAN </t>
  </si>
  <si>
    <t xml:space="preserve">SSEBULAMU DANIEL </t>
  </si>
  <si>
    <t>ISABIRYE TUSAIRI</t>
  </si>
  <si>
    <t xml:space="preserve">KABUYE JOVAN </t>
  </si>
  <si>
    <t>MUHINDO ROBINAH</t>
  </si>
  <si>
    <t>ANKWASE MERCY</t>
  </si>
  <si>
    <t>DOUGLAS LUGOMBO</t>
  </si>
  <si>
    <t>MATOVU AMINSI</t>
  </si>
  <si>
    <t xml:space="preserve">WAISWA BRIAN </t>
  </si>
  <si>
    <t xml:space="preserve">NAMATA MARGRET </t>
  </si>
  <si>
    <t>MATOVU IBRA</t>
  </si>
  <si>
    <t>NSEREKO KIM</t>
  </si>
  <si>
    <t>MARK CYRUS</t>
  </si>
  <si>
    <t>NSANGO ROGERS</t>
  </si>
  <si>
    <t xml:space="preserve">GIDEON WILLIAM </t>
  </si>
  <si>
    <t xml:space="preserve">SSENYOKO MIKE </t>
  </si>
  <si>
    <t>TRINA BARYA</t>
  </si>
  <si>
    <t xml:space="preserve">NAKANWAGI LYDIA </t>
  </si>
  <si>
    <t>RICHARD SSENGOZI</t>
  </si>
  <si>
    <t>MUNYONYO</t>
  </si>
  <si>
    <t xml:space="preserve">TURYASHEMERERWA GODFREY </t>
  </si>
  <si>
    <t>MUSISI FAUSTINO</t>
  </si>
  <si>
    <t>KYISEMBI</t>
  </si>
  <si>
    <t>ABUD RAHUMAN</t>
  </si>
  <si>
    <t xml:space="preserve">MUTEBI INNOCENT </t>
  </si>
  <si>
    <t xml:space="preserve">KIWANUKA JOSHUA </t>
  </si>
  <si>
    <t>NSUBUGA ABBY</t>
  </si>
  <si>
    <t>BEN SINAYIDA</t>
  </si>
  <si>
    <t>KASENYI</t>
  </si>
  <si>
    <t>SUNDAY AGRY</t>
  </si>
  <si>
    <t>DEO KANGAVE</t>
  </si>
  <si>
    <t xml:space="preserve">KASENYI </t>
  </si>
  <si>
    <t xml:space="preserve">KIRABIRA JIMMY </t>
  </si>
  <si>
    <t>ALOSIOUS SEKANJAKO</t>
  </si>
  <si>
    <t xml:space="preserve">TUMUSIME DANIEL </t>
  </si>
  <si>
    <t xml:space="preserve">NANTONGO MERCY </t>
  </si>
  <si>
    <t xml:space="preserve">KALULU JOSEPH </t>
  </si>
  <si>
    <t>IGAGA SALIM</t>
  </si>
  <si>
    <t xml:space="preserve">LUBEGA JAMES </t>
  </si>
  <si>
    <t>MUSOKE DEO</t>
  </si>
  <si>
    <t>BOSA UMAR</t>
  </si>
  <si>
    <t>FAHAD SEKARA</t>
  </si>
  <si>
    <t xml:space="preserve">MUKISA ANDREW </t>
  </si>
  <si>
    <t>KAWAFU</t>
  </si>
  <si>
    <t xml:space="preserve">KAWOYA SHAFIK </t>
  </si>
  <si>
    <t xml:space="preserve">KAMYA GEORGE </t>
  </si>
  <si>
    <t>NAMALE HANNAH</t>
  </si>
  <si>
    <t xml:space="preserve">NATUKUNDA HOPE </t>
  </si>
  <si>
    <t xml:space="preserve">ABAITA </t>
  </si>
  <si>
    <t>MUTEBI ATHUMANI</t>
  </si>
  <si>
    <t xml:space="preserve">GUZMAN FRANCIS </t>
  </si>
  <si>
    <t>TURYATUNGA DENNIS</t>
  </si>
  <si>
    <t xml:space="preserve">SSEMPEWO JULIUS </t>
  </si>
  <si>
    <t>VICTO NAMBOWA</t>
  </si>
  <si>
    <t>AISHA NAKIBURI</t>
  </si>
  <si>
    <t>ABAYITA</t>
  </si>
  <si>
    <t xml:space="preserve">SSEYASI DERRICK </t>
  </si>
  <si>
    <t xml:space="preserve">JUNIOR BANKS </t>
  </si>
  <si>
    <t xml:space="preserve">BAYITA </t>
  </si>
  <si>
    <t>DOREEN NAMATA</t>
  </si>
  <si>
    <t xml:space="preserve">ALIMPA JORDAN </t>
  </si>
  <si>
    <t xml:space="preserve">GUMIKYIRIZA JOEL </t>
  </si>
  <si>
    <t>NALUBWAMA SARAH</t>
  </si>
  <si>
    <t>SSERAMAJJE MATHIAS</t>
  </si>
  <si>
    <t xml:space="preserve">KIBUKA DAVID </t>
  </si>
  <si>
    <t>PAUL KAFERO</t>
  </si>
  <si>
    <t>KABUBI FRANK</t>
  </si>
  <si>
    <t xml:space="preserve">JJAGWE MUHAMMAD </t>
  </si>
  <si>
    <t>MATOVU BASHIR</t>
  </si>
  <si>
    <t>OJJAMBO FREDRICK</t>
  </si>
  <si>
    <t>THOMAS MUKOOZA</t>
  </si>
  <si>
    <t>EMMANUEL VICTOR OCHORA</t>
  </si>
  <si>
    <t xml:space="preserve">SSENKUGE SAMUEL </t>
  </si>
  <si>
    <t xml:space="preserve">KALYANGO RONALD </t>
  </si>
  <si>
    <t xml:space="preserve">SSENABULYA STEVEN </t>
  </si>
  <si>
    <t>MUKONO SINAN</t>
  </si>
  <si>
    <t xml:space="preserve">BUKENYA MARTIN </t>
  </si>
  <si>
    <t xml:space="preserve">KWIKIRIZA LYDIA </t>
  </si>
  <si>
    <t>PETER KAYEMBA</t>
  </si>
  <si>
    <t>KASAGA MUSA</t>
  </si>
  <si>
    <t>ISANA SSEBOMBO</t>
  </si>
  <si>
    <t xml:space="preserve">HERIYA GERALD </t>
  </si>
  <si>
    <t>GODFREY BAITA</t>
  </si>
  <si>
    <t>MUBONE OMPSON</t>
  </si>
  <si>
    <t xml:space="preserve">AMUDA PAUL </t>
  </si>
  <si>
    <t>MUGAGGA EDY</t>
  </si>
  <si>
    <t xml:space="preserve">MULINDWA RONALD </t>
  </si>
  <si>
    <t>BINOMUGISHA BOSCO</t>
  </si>
  <si>
    <t xml:space="preserve">AYEBARE BENJAMIN </t>
  </si>
  <si>
    <t xml:space="preserve">AMANYA DAVID </t>
  </si>
  <si>
    <t xml:space="preserve">MUKWANA RONALD </t>
  </si>
  <si>
    <t>BIGIRWA ACHWE</t>
  </si>
  <si>
    <t xml:space="preserve">ASIIMWE ROBERT </t>
  </si>
  <si>
    <t>LWANGA MUZAMIRU</t>
  </si>
  <si>
    <t>KAMUGISHA FRED</t>
  </si>
  <si>
    <t>KATALILWA EMMA</t>
  </si>
  <si>
    <t>OKIRIA STEPHEN</t>
  </si>
  <si>
    <t>JULIUS BAGUMA</t>
  </si>
  <si>
    <t xml:space="preserve">NSUBUGA DESIRE </t>
  </si>
  <si>
    <t>EDDY K SEKYONDO</t>
  </si>
  <si>
    <t>KASEKENDE FRANK</t>
  </si>
  <si>
    <t xml:space="preserve">ASINGUZA RICHARD </t>
  </si>
  <si>
    <t xml:space="preserve">ELIA MUZAFALU </t>
  </si>
  <si>
    <t xml:space="preserve">KABWESINGA JOHN </t>
  </si>
  <si>
    <t xml:space="preserve">KENYESIGYE BRIAN </t>
  </si>
  <si>
    <t xml:space="preserve">MUHUMUZA DERRICK </t>
  </si>
  <si>
    <t xml:space="preserve">TIMOTHY SSENTOGO </t>
  </si>
  <si>
    <t xml:space="preserve">MAN PAUL UGANDA </t>
  </si>
  <si>
    <t>ASIIMWE NICHOLAS</t>
  </si>
  <si>
    <t>NUTESIGENSI JOAB</t>
  </si>
  <si>
    <t>OBOLIA STEPHEN</t>
  </si>
  <si>
    <t>NAMBOGO BEATRICE</t>
  </si>
  <si>
    <t xml:space="preserve">NAGAWA OLIVE </t>
  </si>
  <si>
    <t>AKATUKUNDA ASIA</t>
  </si>
  <si>
    <t>NINSIIMA PROSIA</t>
  </si>
  <si>
    <t>BIXZ BONONE</t>
  </si>
  <si>
    <t>KWARE MAX</t>
  </si>
  <si>
    <t>DOCTA FRED</t>
  </si>
  <si>
    <t>NANGOBI VIOLA</t>
  </si>
  <si>
    <t>ATUKWASE KETTY</t>
  </si>
  <si>
    <t>UMAR KITULE</t>
  </si>
  <si>
    <t xml:space="preserve">MUWANGUZI JORDAN </t>
  </si>
  <si>
    <t xml:space="preserve">KATO BRIAN </t>
  </si>
  <si>
    <t>SSEMPEBWA JUMA</t>
  </si>
  <si>
    <t xml:space="preserve">ARINITWE PROSSY </t>
  </si>
  <si>
    <t xml:space="preserve">AZIZ ABDUL </t>
  </si>
  <si>
    <t>MUGISHA ALLED</t>
  </si>
  <si>
    <t>RUNEYO</t>
  </si>
  <si>
    <t xml:space="preserve">SSENOGA GODFREY </t>
  </si>
  <si>
    <t>ADEKE JOVIA</t>
  </si>
  <si>
    <t>SSERWADA ROGERS</t>
  </si>
  <si>
    <t xml:space="preserve">TALEMWA LIVINGSTON </t>
  </si>
  <si>
    <t xml:space="preserve">JOSHUA </t>
  </si>
  <si>
    <t xml:space="preserve">MUGABE FAHAD </t>
  </si>
  <si>
    <t xml:space="preserve">KEISHA ESTHER </t>
  </si>
  <si>
    <t>AKIROR BETTY</t>
  </si>
  <si>
    <t xml:space="preserve">MUGENYI GODWIN </t>
  </si>
  <si>
    <t>TUMUHIMBISE JORAM</t>
  </si>
  <si>
    <t>RONALD SSEKOBA</t>
  </si>
  <si>
    <t>LUTAYA KAREEM</t>
  </si>
  <si>
    <t xml:space="preserve">GODFREY </t>
  </si>
  <si>
    <t>MABARI BONEY</t>
  </si>
  <si>
    <t>AGABA YAHAYA</t>
  </si>
  <si>
    <t>TUKUMUHERWA VICENT</t>
  </si>
  <si>
    <t xml:space="preserve">KAYONDO </t>
  </si>
  <si>
    <t>SSETUBA FARRUK</t>
  </si>
  <si>
    <t>KIWEWA NADAD</t>
  </si>
  <si>
    <t xml:space="preserve">KEMIREMBE ROSE </t>
  </si>
  <si>
    <t>KAMUNTU PATRICK</t>
  </si>
  <si>
    <t xml:space="preserve">DENNIS MUGISHA </t>
  </si>
  <si>
    <t>TOMAS COSIMA</t>
  </si>
  <si>
    <t>RASHID KABABUKE</t>
  </si>
  <si>
    <t xml:space="preserve">NTALA EMMANUEL </t>
  </si>
  <si>
    <t>BABANDA DICKSON</t>
  </si>
  <si>
    <t>FRED MUTUNZI</t>
  </si>
  <si>
    <t xml:space="preserve">ARINITWE BRIAN </t>
  </si>
  <si>
    <t>MUGONYA REAGAN</t>
  </si>
  <si>
    <t>DANSON TWINOMUTUSU</t>
  </si>
  <si>
    <t xml:space="preserve">TUMUKUNDE BRIGHTON </t>
  </si>
  <si>
    <t>BILONDEMU SULAIMAN</t>
  </si>
  <si>
    <t>ABEDI CEDRICK</t>
  </si>
  <si>
    <t>MULINDWA WICKNANA</t>
  </si>
  <si>
    <t>NELSON ISABIRYE</t>
  </si>
  <si>
    <t xml:space="preserve">NANTUME CATHERINE </t>
  </si>
  <si>
    <t xml:space="preserve">IGA MUBARAK </t>
  </si>
  <si>
    <t xml:space="preserve">OKWAKOL ARNOLD </t>
  </si>
  <si>
    <t>MUSIMBE BESWERI</t>
  </si>
  <si>
    <t xml:space="preserve">MUKISA FAITH </t>
  </si>
  <si>
    <t xml:space="preserve">AHABWE BRIAN </t>
  </si>
  <si>
    <t xml:space="preserve">GARUGA </t>
  </si>
  <si>
    <t xml:space="preserve">SSENYONJO ARNOLD </t>
  </si>
  <si>
    <t>MASEREKA AMON</t>
  </si>
  <si>
    <t>MUTONI SANYU</t>
  </si>
  <si>
    <t>PHIONAH NAKATE</t>
  </si>
  <si>
    <t>KABASHAMBO SYLVIA</t>
  </si>
  <si>
    <t xml:space="preserve">NAMAYANJA RITAH </t>
  </si>
  <si>
    <t>TWAHARERE AKIMU</t>
  </si>
  <si>
    <t xml:space="preserve">SSEKYANZI IBRAHIM </t>
  </si>
  <si>
    <t xml:space="preserve">SSEKITOLEKO RAMADHAN </t>
  </si>
  <si>
    <t>KASENGE</t>
  </si>
  <si>
    <t>SSEMWOGERERE ISA</t>
  </si>
  <si>
    <t xml:space="preserve">SAYID MUHAMMAD </t>
  </si>
  <si>
    <t>KAWUFU</t>
  </si>
  <si>
    <t>FRANCIS KIRUMBA</t>
  </si>
  <si>
    <t>YIGA JACKSON</t>
  </si>
  <si>
    <t>ROBERT KANYIKE</t>
  </si>
  <si>
    <t>SSEBUMA HUSSEIN</t>
  </si>
  <si>
    <t>NSAMBA MALIK</t>
  </si>
  <si>
    <t xml:space="preserve">ISABIRYE PAUL </t>
  </si>
  <si>
    <t xml:space="preserve">KOJA JOHN </t>
  </si>
  <si>
    <t>KIZITTO ASUMAN</t>
  </si>
  <si>
    <t xml:space="preserve">LUKYAMUZI FAHAD </t>
  </si>
  <si>
    <t>BUKENYA BEN</t>
  </si>
  <si>
    <t>NABASA ALICE</t>
  </si>
  <si>
    <t xml:space="preserve">OMULANGILA WILSON </t>
  </si>
  <si>
    <t>KABUGO RASHID ELIAS</t>
  </si>
  <si>
    <t>KABAKUBYA PATRiC</t>
  </si>
  <si>
    <t xml:space="preserve">MOKO SIMON </t>
  </si>
  <si>
    <t>TENANT'S NAME</t>
  </si>
  <si>
    <t>TENANT'S No</t>
  </si>
  <si>
    <t xml:space="preserve">Pawere Miracle </t>
  </si>
  <si>
    <t>Kinawataka</t>
  </si>
  <si>
    <t>Ndokere Joaqim</t>
  </si>
  <si>
    <t>Aburu Mogregor</t>
  </si>
  <si>
    <t>Byaruhanga Kellen</t>
  </si>
  <si>
    <t xml:space="preserve">Igella Evelyn </t>
  </si>
  <si>
    <t xml:space="preserve">Birimbo Aaron </t>
  </si>
  <si>
    <t>Kalunji Kabuye</t>
  </si>
  <si>
    <t xml:space="preserve">Mutekanga Maureen </t>
  </si>
  <si>
    <t>Omute Jane</t>
  </si>
  <si>
    <t xml:space="preserve">Aluma Joshua </t>
  </si>
  <si>
    <t>Ahumuza Benson</t>
  </si>
  <si>
    <t xml:space="preserve">Nakanwagi Maria </t>
  </si>
  <si>
    <t>Adam Bagonza</t>
  </si>
  <si>
    <t>Gladys Nampanga</t>
  </si>
  <si>
    <t xml:space="preserve">Aisasi Jonathan </t>
  </si>
  <si>
    <t xml:space="preserve">Osutaru Judith </t>
  </si>
  <si>
    <t xml:space="preserve">Ariyo Florence </t>
  </si>
  <si>
    <t>Kimara Shadrach</t>
  </si>
  <si>
    <t xml:space="preserve">Nansinkombi Gorret </t>
  </si>
  <si>
    <t xml:space="preserve">Atimango Josephine </t>
  </si>
  <si>
    <t xml:space="preserve">Kassami Timothy </t>
  </si>
  <si>
    <t>Odongo Moses</t>
  </si>
  <si>
    <t xml:space="preserve">Zziwa Jesca </t>
  </si>
  <si>
    <t>Atim Diana</t>
  </si>
  <si>
    <t xml:space="preserve">Ngonzi Eleanor </t>
  </si>
  <si>
    <t xml:space="preserve">Kampala </t>
  </si>
  <si>
    <t xml:space="preserve">Kukundakwe Emily </t>
  </si>
  <si>
    <t>Kabarezi Ruth</t>
  </si>
  <si>
    <t>Kyamukama Yvonne</t>
  </si>
  <si>
    <t xml:space="preserve">Nakiganda Claire </t>
  </si>
  <si>
    <t>Ampaire Naome</t>
  </si>
  <si>
    <t>Kyomugisha Immy</t>
  </si>
  <si>
    <t>Atugonza Anna</t>
  </si>
  <si>
    <t xml:space="preserve">Mugisha Samuel </t>
  </si>
  <si>
    <t>Tulina Gabriella</t>
  </si>
  <si>
    <t>Katumbuka Arinda</t>
  </si>
  <si>
    <t>Wafwoyo karabo</t>
  </si>
  <si>
    <t>Neema Bukiru</t>
  </si>
  <si>
    <t>Nabattu Samali</t>
  </si>
  <si>
    <t xml:space="preserve">Namubiru Hannah </t>
  </si>
  <si>
    <t xml:space="preserve">Kavevesa Mackline </t>
  </si>
  <si>
    <t>Izooba Fredio k</t>
  </si>
  <si>
    <t>Bangirana Paul</t>
  </si>
  <si>
    <t>Bugolobi</t>
  </si>
  <si>
    <t>Mwanje Faluku</t>
  </si>
  <si>
    <t>Kayizzi Riley</t>
  </si>
  <si>
    <t>Muthusi Frank</t>
  </si>
  <si>
    <t>Nakate Cathy</t>
  </si>
  <si>
    <t>Tebukoza Irene</t>
  </si>
  <si>
    <t xml:space="preserve">Lubanga Brian </t>
  </si>
  <si>
    <t xml:space="preserve">Taburo Alex </t>
  </si>
  <si>
    <t>Nandinda Sumaya</t>
  </si>
  <si>
    <t>Bugulobi</t>
  </si>
  <si>
    <t xml:space="preserve">Kamuhiigi Joram </t>
  </si>
  <si>
    <t xml:space="preserve">Ohabirwe Sharon </t>
  </si>
  <si>
    <t>Bainomugisha Steph</t>
  </si>
  <si>
    <t xml:space="preserve">Katariza Alfred </t>
  </si>
  <si>
    <t xml:space="preserve">Nabukeera Charity </t>
  </si>
  <si>
    <t>Birungi Carol</t>
  </si>
  <si>
    <t>Namataka Emma</t>
  </si>
  <si>
    <t>Kyomukama Yvone</t>
  </si>
  <si>
    <t xml:space="preserve">Nalumansi Cynthia </t>
  </si>
  <si>
    <t>Nakiganda Clair</t>
  </si>
  <si>
    <t xml:space="preserve">Nakayima Immaculate </t>
  </si>
  <si>
    <t>Bweyogerere</t>
  </si>
  <si>
    <t>Catherine Nankya</t>
  </si>
  <si>
    <t>Mustafa Zakrea</t>
  </si>
  <si>
    <t>Moses Sewankambo</t>
  </si>
  <si>
    <t>Nanfuka Rose</t>
  </si>
  <si>
    <t>Ibrahim Andresile</t>
  </si>
  <si>
    <t>Asinduru Joseline</t>
  </si>
  <si>
    <t>Denis Kyambade</t>
  </si>
  <si>
    <t>Dila Ronny</t>
  </si>
  <si>
    <t xml:space="preserve">Wotali Getrude </t>
  </si>
  <si>
    <t xml:space="preserve">Diluwa Edward </t>
  </si>
  <si>
    <t>Bweyogere</t>
  </si>
  <si>
    <t>Namakywa Mercy</t>
  </si>
  <si>
    <t xml:space="preserve">Apoko Florence </t>
  </si>
  <si>
    <t xml:space="preserve">Apworwot Suzan </t>
  </si>
  <si>
    <t>Naluyinda Sharifa</t>
  </si>
  <si>
    <t xml:space="preserve">Akangumaho Julia </t>
  </si>
  <si>
    <t>Nakazzi Brenda</t>
  </si>
  <si>
    <t>Josiah Ahumuza</t>
  </si>
  <si>
    <t>Nalumanya Martha</t>
  </si>
  <si>
    <t>Antonio Aida</t>
  </si>
  <si>
    <t xml:space="preserve">Asiimwe Deborah </t>
  </si>
  <si>
    <t xml:space="preserve">Kalamira Jackline </t>
  </si>
  <si>
    <t>Lea Musasizi</t>
  </si>
  <si>
    <t>Mukombe Ronnie</t>
  </si>
  <si>
    <t>Twine Karunji</t>
  </si>
  <si>
    <t>Namusuzi Hellen</t>
  </si>
  <si>
    <t>Alupo Simpo</t>
  </si>
  <si>
    <t>Mugisha Luka</t>
  </si>
  <si>
    <t xml:space="preserve">Tukezibwa Doreen </t>
  </si>
  <si>
    <t xml:space="preserve">Apio Natasha </t>
  </si>
  <si>
    <t>Lee Betty Odur</t>
  </si>
  <si>
    <t>Rurangwa Moses</t>
  </si>
  <si>
    <t>Amara Grace</t>
  </si>
  <si>
    <t xml:space="preserve">Tikvan Shalom </t>
  </si>
  <si>
    <t>Obore David Aisu</t>
  </si>
  <si>
    <t xml:space="preserve">Murana Priscilla </t>
  </si>
  <si>
    <t>Aguma Prudence</t>
  </si>
  <si>
    <t>Agiri Tumwine</t>
  </si>
  <si>
    <t xml:space="preserve">Atim Susan </t>
  </si>
  <si>
    <t>Ariokot Carolyne</t>
  </si>
  <si>
    <t>Kawuma Thony</t>
  </si>
  <si>
    <t xml:space="preserve">Mulwana Richard </t>
  </si>
  <si>
    <t xml:space="preserve">Kiyumbi Maria </t>
  </si>
  <si>
    <t xml:space="preserve">Ainomugisha Talent </t>
  </si>
  <si>
    <t xml:space="preserve">Owayesu Charity </t>
  </si>
  <si>
    <t>Vandam Dhogum</t>
  </si>
  <si>
    <t>Nabisunsa</t>
  </si>
  <si>
    <t xml:space="preserve">Nawanga Eunice </t>
  </si>
  <si>
    <t>Minyeto Joel</t>
  </si>
  <si>
    <t xml:space="preserve">Lukwiya Morgan </t>
  </si>
  <si>
    <t>Rweyongeza Keeran</t>
  </si>
  <si>
    <t xml:space="preserve">Bukenya Tyla </t>
  </si>
  <si>
    <t>Tuhairwe Mackilyn</t>
  </si>
  <si>
    <t>Neema Mora</t>
  </si>
  <si>
    <t xml:space="preserve">Kengayu Vanessa </t>
  </si>
  <si>
    <t xml:space="preserve">Kariisa David </t>
  </si>
  <si>
    <t>Akena Elly</t>
  </si>
  <si>
    <t>Nakakawa Faridah</t>
  </si>
  <si>
    <t xml:space="preserve">Tusingirwe Faith </t>
  </si>
  <si>
    <t xml:space="preserve">Mbabazi Diana </t>
  </si>
  <si>
    <t>Namaganda Annet</t>
  </si>
  <si>
    <t xml:space="preserve">Mirembe Vivian </t>
  </si>
  <si>
    <t>Dahimbazi  Josh</t>
  </si>
  <si>
    <t>Hirwa Joelia</t>
  </si>
  <si>
    <t xml:space="preserve">Amalai Godfrey </t>
  </si>
  <si>
    <t xml:space="preserve">Aagon Collins </t>
  </si>
  <si>
    <t xml:space="preserve">Nabisunsa </t>
  </si>
  <si>
    <t>Moses Akera</t>
  </si>
  <si>
    <t>Jessy Mwesigwa</t>
  </si>
  <si>
    <t xml:space="preserve">Kuteesa Angel </t>
  </si>
  <si>
    <t xml:space="preserve">Werishe Francis </t>
  </si>
  <si>
    <t xml:space="preserve">Mugisha Sylvia </t>
  </si>
  <si>
    <t>Kyambogo</t>
  </si>
  <si>
    <t>Tumusiime simpson</t>
  </si>
  <si>
    <t>Upeeru yesse</t>
  </si>
  <si>
    <t>Aisu Clement</t>
  </si>
  <si>
    <t>Tendo Reigns</t>
  </si>
  <si>
    <t>Erema Benard</t>
  </si>
  <si>
    <t>Ainembabazi Diana</t>
  </si>
  <si>
    <t xml:space="preserve">Oguwi John </t>
  </si>
  <si>
    <t>Oguwi samson</t>
  </si>
  <si>
    <t xml:space="preserve">Birungi Kimberly </t>
  </si>
  <si>
    <t>Akampereza Johna</t>
  </si>
  <si>
    <t>Gudoi Gauron</t>
  </si>
  <si>
    <t xml:space="preserve">Akello Abigail </t>
  </si>
  <si>
    <t xml:space="preserve">Ogolah Adrian </t>
  </si>
  <si>
    <t>Ogolah Alvin jabal</t>
  </si>
  <si>
    <t xml:space="preserve">Awiyo Christine </t>
  </si>
  <si>
    <t xml:space="preserve">Namanya Joan </t>
  </si>
  <si>
    <t xml:space="preserve">Lubaale Solomon </t>
  </si>
  <si>
    <t xml:space="preserve">Kyambogo </t>
  </si>
  <si>
    <t xml:space="preserve">Bukenya Ahmed </t>
  </si>
  <si>
    <t>Kaije Amaro</t>
  </si>
  <si>
    <t>Lanyero Brenda</t>
  </si>
  <si>
    <t xml:space="preserve">Kasule Aiden </t>
  </si>
  <si>
    <t>Akiisa Airano</t>
  </si>
  <si>
    <t xml:space="preserve">Kato Edward </t>
  </si>
  <si>
    <t xml:space="preserve">Bwambale James </t>
  </si>
  <si>
    <t xml:space="preserve">Rwamojo Geofrey </t>
  </si>
  <si>
    <t>Creepy josigne</t>
  </si>
  <si>
    <t xml:space="preserve">Mulungi Esther </t>
  </si>
  <si>
    <t>Dorothy Olwit</t>
  </si>
  <si>
    <t>Mugesera Mutoni</t>
  </si>
  <si>
    <t>Kilobi Medard</t>
  </si>
  <si>
    <t xml:space="preserve">Okodi Larry Emmanuel </t>
  </si>
  <si>
    <t>Kadugu  Moses</t>
  </si>
  <si>
    <t xml:space="preserve">Ayikoru Sharon </t>
  </si>
  <si>
    <t xml:space="preserve">Mugeni Bernard </t>
  </si>
  <si>
    <t>Bwango Apuuli</t>
  </si>
  <si>
    <t xml:space="preserve">Namuganyi Miriam </t>
  </si>
  <si>
    <t>Sembajjwe Allan</t>
  </si>
  <si>
    <t xml:space="preserve">Wamala Dennis </t>
  </si>
  <si>
    <t>Okao Sam</t>
  </si>
  <si>
    <t xml:space="preserve">Eleng Dickens </t>
  </si>
  <si>
    <t>Sire Huda</t>
  </si>
  <si>
    <t>Latifah Kiyingi</t>
  </si>
  <si>
    <t>Mukiibi kaaya</t>
  </si>
  <si>
    <t>Katoogo</t>
  </si>
  <si>
    <t>Uwera Wendy</t>
  </si>
  <si>
    <t>Tumusiime Jerrie</t>
  </si>
  <si>
    <t xml:space="preserve">Maumbe Esther </t>
  </si>
  <si>
    <t>Migisha Brenda</t>
  </si>
  <si>
    <t xml:space="preserve">Okwatum Stephen </t>
  </si>
  <si>
    <t>Mitembo Shaka</t>
  </si>
  <si>
    <t>Kikonyogo Eric</t>
  </si>
  <si>
    <t xml:space="preserve">Mukwaya grace </t>
  </si>
  <si>
    <t>Aanyu Tahira</t>
  </si>
  <si>
    <t xml:space="preserve">Basuule Christopher </t>
  </si>
  <si>
    <t>Kamba Clovis</t>
  </si>
  <si>
    <t xml:space="preserve">Kalule Herbert </t>
  </si>
  <si>
    <t>Atim Ruth</t>
  </si>
  <si>
    <t>Mubale Yokosam</t>
  </si>
  <si>
    <t>Atim Mara Otim</t>
  </si>
  <si>
    <t xml:space="preserve">Sanya Erick </t>
  </si>
  <si>
    <t>Kadondi Zerida</t>
  </si>
  <si>
    <t xml:space="preserve">Guy Nono </t>
  </si>
  <si>
    <t xml:space="preserve">Olumbe Judith </t>
  </si>
  <si>
    <t xml:space="preserve">Wasswa Charles </t>
  </si>
  <si>
    <t>Katamba Ivan</t>
  </si>
  <si>
    <t xml:space="preserve">Ninsiima Innocent </t>
  </si>
  <si>
    <t>Nyakato Mickayla</t>
  </si>
  <si>
    <t>Okema Julius</t>
  </si>
  <si>
    <t>Kobugabe Jumina</t>
  </si>
  <si>
    <t xml:space="preserve">Kaahwa Simon </t>
  </si>
  <si>
    <t>Nampogo Biralith</t>
  </si>
  <si>
    <t>Najjuma Tenda</t>
  </si>
  <si>
    <t xml:space="preserve">Katoogo </t>
  </si>
  <si>
    <t>Kalungi Allen</t>
  </si>
  <si>
    <t xml:space="preserve">Nabangi Shaban </t>
  </si>
  <si>
    <t>Ankunda Diana</t>
  </si>
  <si>
    <t>Kyohangirwe Brenda</t>
  </si>
  <si>
    <t>Luis wad Etikus</t>
  </si>
  <si>
    <t>Ayebare Elaine</t>
  </si>
  <si>
    <t xml:space="preserve">Aryondo Steven </t>
  </si>
  <si>
    <t xml:space="preserve">Serena Hazel </t>
  </si>
  <si>
    <t xml:space="preserve">Atim Tisha </t>
  </si>
  <si>
    <t xml:space="preserve">Masereka Sharon </t>
  </si>
  <si>
    <t xml:space="preserve">Kirunda Alex </t>
  </si>
  <si>
    <t xml:space="preserve">Oketa Patrick </t>
  </si>
  <si>
    <t>Mukyala Maria</t>
  </si>
  <si>
    <t>Kaigamba Mark</t>
  </si>
  <si>
    <t xml:space="preserve">Bazirwe Angel </t>
  </si>
  <si>
    <t xml:space="preserve">Navuga Elizabeth </t>
  </si>
  <si>
    <t xml:space="preserve">Akiror Beatrice </t>
  </si>
  <si>
    <t xml:space="preserve">Akia Maria </t>
  </si>
  <si>
    <t>Mbuya</t>
  </si>
  <si>
    <t xml:space="preserve">Tumusiime Abel </t>
  </si>
  <si>
    <t>Kunihira Noella</t>
  </si>
  <si>
    <t xml:space="preserve">Asiimwe Rodgers </t>
  </si>
  <si>
    <t xml:space="preserve">Kwaya Gilbert </t>
  </si>
  <si>
    <t>Navubya Carol</t>
  </si>
  <si>
    <t>Kyobe Tom</t>
  </si>
  <si>
    <t>Kijjambu Erisa</t>
  </si>
  <si>
    <t>Atusasire Ronah</t>
  </si>
  <si>
    <t xml:space="preserve">Ssali Arthur </t>
  </si>
  <si>
    <t xml:space="preserve">Mbuya </t>
  </si>
  <si>
    <t>Nkwanzi Marcella</t>
  </si>
  <si>
    <t xml:space="preserve">Alinda Promise </t>
  </si>
  <si>
    <t>Babirye Irene</t>
  </si>
  <si>
    <t>Ssempiira Hansan</t>
  </si>
  <si>
    <t xml:space="preserve">Kirungi Esther </t>
  </si>
  <si>
    <t xml:space="preserve">Twikirize Ben </t>
  </si>
  <si>
    <t xml:space="preserve">Obira Daniel </t>
  </si>
  <si>
    <t xml:space="preserve">Okeo David </t>
  </si>
  <si>
    <t>Asiimwe Ariella</t>
  </si>
  <si>
    <t xml:space="preserve">Tukorekwa Ramsey </t>
  </si>
  <si>
    <t>Tubenawe Jobat</t>
  </si>
  <si>
    <t>Nyawiji Julian</t>
  </si>
  <si>
    <t xml:space="preserve">Wanga Elizabeth </t>
  </si>
  <si>
    <t xml:space="preserve">Terry Aloho Jeff </t>
  </si>
  <si>
    <t xml:space="preserve">Bweyogerere </t>
  </si>
  <si>
    <t>Nkobe Erico</t>
  </si>
  <si>
    <t>Namanya Shamira</t>
  </si>
  <si>
    <t>Opus Nolan</t>
  </si>
  <si>
    <t xml:space="preserve"> Bweyogerere </t>
  </si>
  <si>
    <t xml:space="preserve">Kyokunda Deborah </t>
  </si>
  <si>
    <t xml:space="preserve">Luden Arnold </t>
  </si>
  <si>
    <t>Namuddu Linda</t>
  </si>
  <si>
    <t>Kirabo Audrey Wanda</t>
  </si>
  <si>
    <t>Nalumya Pauline</t>
  </si>
  <si>
    <t xml:space="preserve">Ahereza Musiimenta </t>
  </si>
  <si>
    <t>Lubowa Doris</t>
  </si>
  <si>
    <t>Bagada Elam</t>
  </si>
  <si>
    <t>Arinaitwe Niisi</t>
  </si>
  <si>
    <t>Nanyonga Suzan</t>
  </si>
  <si>
    <t>Tumuheho Kezia</t>
  </si>
  <si>
    <t>Owalinga Dennis</t>
  </si>
  <si>
    <t>Nakungu Daisy</t>
  </si>
  <si>
    <t>Karemire Robert</t>
  </si>
  <si>
    <t>Ahakundire Gillian</t>
  </si>
  <si>
    <t>Namusisi Aidah</t>
  </si>
  <si>
    <t>Egoo Morish</t>
  </si>
  <si>
    <t>Okonyo Tadeo</t>
  </si>
  <si>
    <t>Akidi Barbara</t>
  </si>
  <si>
    <t xml:space="preserve">Akankwasa Damalie </t>
  </si>
  <si>
    <t>Wampire Naomi</t>
  </si>
  <si>
    <t>Nakawa</t>
  </si>
  <si>
    <t xml:space="preserve">Kyomugisha Emma </t>
  </si>
  <si>
    <t xml:space="preserve">Nakawa </t>
  </si>
  <si>
    <t xml:space="preserve">Atugonza Anna </t>
  </si>
  <si>
    <t>Kirenga Agatha</t>
  </si>
  <si>
    <t>Mugisha Samuel</t>
  </si>
  <si>
    <t xml:space="preserve">Tulina Gabriella </t>
  </si>
  <si>
    <t>Katumba Arinda</t>
  </si>
  <si>
    <t>Wafwoyo Kirabo</t>
  </si>
  <si>
    <t xml:space="preserve">Kamusiime Owen </t>
  </si>
  <si>
    <t>Katabi Ryan</t>
  </si>
  <si>
    <t>Petronella Karen</t>
  </si>
  <si>
    <t xml:space="preserve">Owiti Godfrey </t>
  </si>
  <si>
    <t>Tamara Annabel</t>
  </si>
  <si>
    <t>Namubiru Hannah</t>
  </si>
  <si>
    <t xml:space="preserve">Kabiri Richard </t>
  </si>
  <si>
    <t>Izooba Fredrick</t>
  </si>
  <si>
    <t>Wangari Sarah</t>
  </si>
  <si>
    <t>Jayang Agnes</t>
  </si>
  <si>
    <t>Ekude Harriet</t>
  </si>
  <si>
    <t>Mirembe Jane</t>
  </si>
  <si>
    <t>Natusinga Moses</t>
  </si>
  <si>
    <t xml:space="preserve">Asiimwe Patience </t>
  </si>
  <si>
    <t xml:space="preserve">Asingirwe Praise </t>
  </si>
  <si>
    <t>Kengabirwe Macklyne</t>
  </si>
  <si>
    <t xml:space="preserve">Oneka Isaac </t>
  </si>
  <si>
    <t>Nyeko Edward</t>
  </si>
  <si>
    <t>Nakiwala Mariam</t>
  </si>
  <si>
    <t>Nakato Dorothy</t>
  </si>
  <si>
    <t>Robert Basaija</t>
  </si>
  <si>
    <t>Viola Komuhendo</t>
  </si>
  <si>
    <t>Wamono George</t>
  </si>
  <si>
    <t>Kayizzi Gates</t>
  </si>
  <si>
    <t>Mayanja Steven</t>
  </si>
  <si>
    <t>Alyaa Dinnah</t>
  </si>
  <si>
    <t>Akamubigi Jessie</t>
  </si>
  <si>
    <t>Mugaga Samuel</t>
  </si>
  <si>
    <t>Oriokot Ivan</t>
  </si>
  <si>
    <t>Lyadda Desire</t>
  </si>
  <si>
    <t>Mutegeki David</t>
  </si>
  <si>
    <t>Leela Siddan</t>
  </si>
  <si>
    <t xml:space="preserve">Wambe Robert </t>
  </si>
  <si>
    <t>Dan Ngabirano</t>
  </si>
  <si>
    <t>Nathaniel Rubanzi</t>
  </si>
  <si>
    <t xml:space="preserve">Bugolobi </t>
  </si>
  <si>
    <t>Samuel Magezi</t>
  </si>
  <si>
    <t>Kisaka Jane</t>
  </si>
  <si>
    <t>Mugisha Asuman</t>
  </si>
  <si>
    <t>Ivan Musiime</t>
  </si>
  <si>
    <t>Ntoto Joan</t>
  </si>
  <si>
    <t>Muteesi Mary</t>
  </si>
  <si>
    <t>Richard Musita</t>
  </si>
  <si>
    <t>Komuhangi Winnie</t>
  </si>
  <si>
    <t>Arinda Shillah</t>
  </si>
  <si>
    <t>Mubangizi Dan</t>
  </si>
  <si>
    <t>Aine Prossy</t>
  </si>
  <si>
    <t>Okwele Ruth</t>
  </si>
  <si>
    <t>Kazibwe Justine</t>
  </si>
  <si>
    <t>Abraham Opanya</t>
  </si>
  <si>
    <t>Ampurire Joel</t>
  </si>
  <si>
    <t>Alex Mutumba</t>
  </si>
  <si>
    <t>Tendo Ariella</t>
  </si>
  <si>
    <t>Ajok Stella</t>
  </si>
  <si>
    <t>Karungi Jessirah</t>
  </si>
  <si>
    <t>Igella Evelyn</t>
  </si>
  <si>
    <t>Birimbo Aaron</t>
  </si>
  <si>
    <t>Mutekanga Maureen</t>
  </si>
  <si>
    <t xml:space="preserve">Kinawataka </t>
  </si>
  <si>
    <t>Aluma Joshua</t>
  </si>
  <si>
    <t>Nakanwagi Maria</t>
  </si>
  <si>
    <t>Aitasi Jonathan</t>
  </si>
  <si>
    <t>Osutaru Judith</t>
  </si>
  <si>
    <t>Apio Florence</t>
  </si>
  <si>
    <t>Nansinkombi Gorret</t>
  </si>
  <si>
    <t>Atimango Josephine</t>
  </si>
  <si>
    <t>Kassami Timothy</t>
  </si>
  <si>
    <t>Adam Banda</t>
  </si>
  <si>
    <t>Mbalwa</t>
  </si>
  <si>
    <t>Zziwa Jesca</t>
  </si>
  <si>
    <t xml:space="preserve">Atim Diana </t>
  </si>
  <si>
    <t xml:space="preserve">Nabantu Alfred </t>
  </si>
  <si>
    <t>Barbara Valuvala</t>
  </si>
  <si>
    <t>Ekaju Joshua Egon</t>
  </si>
  <si>
    <t>Turahirwe Yvonne</t>
  </si>
  <si>
    <t>Kasule Hawa</t>
  </si>
  <si>
    <t>Onyango Makumbi Carol</t>
  </si>
  <si>
    <t>Owella Flora</t>
  </si>
  <si>
    <t>Diana Ssali</t>
  </si>
  <si>
    <t>Natukunda Emmanuella</t>
  </si>
  <si>
    <t>Chege Fiona</t>
  </si>
  <si>
    <t>Maganda Sowedi Saidi</t>
  </si>
  <si>
    <t xml:space="preserve">Mbalwa </t>
  </si>
  <si>
    <t>Apobo Diana</t>
  </si>
  <si>
    <t>Oyag Denis</t>
  </si>
  <si>
    <t>Rukidi Mpunga</t>
  </si>
  <si>
    <t>Achan Vanita</t>
  </si>
  <si>
    <t>Kimuli Canary</t>
  </si>
  <si>
    <t>Onzima Polly</t>
  </si>
  <si>
    <t>Nakaggwa Dorothy</t>
  </si>
  <si>
    <t>Nakibirige Sharon</t>
  </si>
  <si>
    <t>Agoni Abbie</t>
  </si>
  <si>
    <t xml:space="preserve">Okune Daniel Henry </t>
  </si>
  <si>
    <t>Musisi Jackson</t>
  </si>
  <si>
    <t>Nakintu Agnes</t>
  </si>
  <si>
    <t xml:space="preserve">Lanyero Christine </t>
  </si>
  <si>
    <t>Ali Joel Shadrack</t>
  </si>
  <si>
    <t>Kanume Cedrick</t>
  </si>
  <si>
    <t>Tumwesigye Anselm</t>
  </si>
  <si>
    <t>Awori Barbara</t>
  </si>
  <si>
    <t>Mugema Chosen</t>
  </si>
  <si>
    <t>Nandutu Christine</t>
  </si>
  <si>
    <t>Nandaah Tenda Lucky</t>
  </si>
  <si>
    <t>Kiyemba Ronald</t>
  </si>
  <si>
    <t>Mujuni Jesse</t>
  </si>
  <si>
    <t>Kafuko Edd</t>
  </si>
  <si>
    <t>Nalugo Resty</t>
  </si>
  <si>
    <t>Akuzibwe Hannah</t>
  </si>
  <si>
    <t>Kibirige Ronald</t>
  </si>
  <si>
    <t>Aloding Rita</t>
  </si>
  <si>
    <t>Gang Billy Bruno</t>
  </si>
  <si>
    <t>Musiime Ronald</t>
  </si>
  <si>
    <t>Kyeyune Ronald</t>
  </si>
  <si>
    <t>Kusiimwa Francis</t>
  </si>
  <si>
    <t>Wandera Peter</t>
  </si>
  <si>
    <t>Ssebina Christopher</t>
  </si>
  <si>
    <t>Nambuya Sky</t>
  </si>
  <si>
    <t>Obeng Lino Amuku</t>
  </si>
  <si>
    <t>Byakacha Rick</t>
  </si>
  <si>
    <t xml:space="preserve">Mwesige Susan Brenda </t>
  </si>
  <si>
    <t>Namukasa Juliet</t>
  </si>
  <si>
    <t>Atwiine Mercy</t>
  </si>
  <si>
    <t>Adikini Flora</t>
  </si>
  <si>
    <t>Ainebyoona Peter</t>
  </si>
  <si>
    <t>Akaisibwe Rueben</t>
  </si>
  <si>
    <t>Owen</t>
  </si>
  <si>
    <t>Banura Richard</t>
  </si>
  <si>
    <t>Annet</t>
  </si>
  <si>
    <t>Namazzi Dinah</t>
  </si>
  <si>
    <t>Richard sebatima</t>
  </si>
  <si>
    <t>Eling Daniel</t>
  </si>
  <si>
    <t>Namaganda Sumin</t>
  </si>
  <si>
    <t>Mukasa Kaysan</t>
  </si>
  <si>
    <t>Harry Abaine</t>
  </si>
  <si>
    <t>Ngabirano Silvatare</t>
  </si>
  <si>
    <t>Obo Johnson</t>
  </si>
  <si>
    <t>Kirabo Kwera</t>
  </si>
  <si>
    <t>Nagawa Hellen</t>
  </si>
  <si>
    <t>Ahurira Felisha</t>
  </si>
  <si>
    <t>Wabirwe Paul</t>
  </si>
  <si>
    <t>Kyomugisha Paul</t>
  </si>
  <si>
    <t xml:space="preserve">Jasmine Bukenya </t>
  </si>
  <si>
    <t>Elsie Komareba</t>
  </si>
  <si>
    <t>Nsereko Paul</t>
  </si>
  <si>
    <t>Ayella Cosmas</t>
  </si>
  <si>
    <t>Kasajja Tom</t>
  </si>
  <si>
    <t>Twani Aranzu</t>
  </si>
  <si>
    <t>Aranda Rinah</t>
  </si>
  <si>
    <t>Byaruhanga Robert</t>
  </si>
  <si>
    <t>Priska</t>
  </si>
  <si>
    <t>Nakidde Edith</t>
  </si>
  <si>
    <t>Ssebagala Hamza</t>
  </si>
  <si>
    <t xml:space="preserve">Nabwire Bridget </t>
  </si>
  <si>
    <t>Balagade Erias</t>
  </si>
  <si>
    <t>Ssembuya Ivan</t>
  </si>
  <si>
    <t>Mayenga Emma</t>
  </si>
  <si>
    <t>Agaba Barbara</t>
  </si>
  <si>
    <t>Among Geraldine</t>
  </si>
  <si>
    <t>Nassuna Teddy</t>
  </si>
  <si>
    <t>Gesa Anitah</t>
  </si>
  <si>
    <t xml:space="preserve">Aceng Esther </t>
  </si>
  <si>
    <t>Atwiine Kayla</t>
  </si>
  <si>
    <t>Ainembabazi Moses</t>
  </si>
  <si>
    <t>Namirembe Dianah</t>
  </si>
  <si>
    <t>Kemigisha Joanita</t>
  </si>
  <si>
    <t>Nakayenga Jannet</t>
  </si>
  <si>
    <t>Talemwa Lynette</t>
  </si>
  <si>
    <t>Agante justin</t>
  </si>
  <si>
    <t>Kaur saurd</t>
  </si>
  <si>
    <t>Etot Ambrose</t>
  </si>
  <si>
    <t>Musinguzi Mike</t>
  </si>
  <si>
    <t>Gwokyalya Cathy</t>
  </si>
  <si>
    <t>Patrick Anwar</t>
  </si>
  <si>
    <t>Agoot Bale</t>
  </si>
  <si>
    <t>Molly Atiko</t>
  </si>
  <si>
    <t>Asaka Betty</t>
  </si>
  <si>
    <t>Nakyonyi Alice</t>
  </si>
  <si>
    <t xml:space="preserve">Emaju Ivan </t>
  </si>
  <si>
    <t>Mujabi Joseph</t>
  </si>
  <si>
    <t>Guma Ali</t>
  </si>
  <si>
    <t>Kizzy Aidda</t>
  </si>
  <si>
    <t>Kiwewa Bettinah</t>
  </si>
  <si>
    <t>Namyalo Sarah</t>
  </si>
  <si>
    <t>Kaduju Agnes</t>
  </si>
  <si>
    <t>Ssekandi Brian</t>
  </si>
  <si>
    <t>Atwooki Cathy</t>
  </si>
  <si>
    <t>Nareeka Moses</t>
  </si>
  <si>
    <t>Walwasa Charles</t>
  </si>
  <si>
    <t>Allan Kizito</t>
  </si>
  <si>
    <t xml:space="preserve"> Nakawa</t>
  </si>
  <si>
    <t>Bashaya Yoweri</t>
  </si>
  <si>
    <t>Nabawesi Doris</t>
  </si>
  <si>
    <t>Magambu Christine</t>
  </si>
  <si>
    <t>Kaahwa Esther</t>
  </si>
  <si>
    <t>Diana Akello</t>
  </si>
  <si>
    <t>Asingirwe Comfort</t>
  </si>
  <si>
    <t>Namayanja Priscilla</t>
  </si>
  <si>
    <t>Bukenya Pius</t>
  </si>
  <si>
    <t>Mercy Wairimu</t>
  </si>
  <si>
    <t>Alvin Mugisha</t>
  </si>
  <si>
    <t>Twinokwesiga Annet</t>
  </si>
  <si>
    <t>Ochanya shaminah</t>
  </si>
  <si>
    <t>Kalungi Mildred</t>
  </si>
  <si>
    <t>Kabarungi Claire</t>
  </si>
  <si>
    <t>Okwalinga Samson</t>
  </si>
  <si>
    <t>Auma Juliet</t>
  </si>
  <si>
    <t>Pride Kevin</t>
  </si>
  <si>
    <t>Kamugisha Collins</t>
  </si>
  <si>
    <t>Byamugisha Jenny</t>
  </si>
  <si>
    <t>Okurut Francis</t>
  </si>
  <si>
    <t>Kirabo Hadia</t>
  </si>
  <si>
    <t>Mutumba Lawrence</t>
  </si>
  <si>
    <t>Gloria Kyakuwa</t>
  </si>
  <si>
    <t>Akello winnie</t>
  </si>
  <si>
    <t>Gizah Ahmed</t>
  </si>
  <si>
    <t>Gawie Benjamin</t>
  </si>
  <si>
    <t>Batabira Anita</t>
  </si>
  <si>
    <t>Otim joy</t>
  </si>
  <si>
    <t>Totukera justin</t>
  </si>
  <si>
    <t>Nabyonga Fatuma</t>
  </si>
  <si>
    <t>Nuwe Jeremiah</t>
  </si>
  <si>
    <t>Mutuminga Ronet</t>
  </si>
  <si>
    <t>Musinguzi Steven</t>
  </si>
  <si>
    <t>Emily Tushabe</t>
  </si>
  <si>
    <t>Yasin Kubwa</t>
  </si>
  <si>
    <t xml:space="preserve">Wasede Richard </t>
  </si>
  <si>
    <t>Omar Medard</t>
  </si>
  <si>
    <t>Mutungi Doris</t>
  </si>
  <si>
    <t>Nampiima Mastulah</t>
  </si>
  <si>
    <t xml:space="preserve">Matovu Margaret </t>
  </si>
  <si>
    <t xml:space="preserve">Atukwase Lucy </t>
  </si>
  <si>
    <t xml:space="preserve">Naluyinda Daphine </t>
  </si>
  <si>
    <t xml:space="preserve">Babirye Josephine </t>
  </si>
  <si>
    <t>Asiimwe Ashley</t>
  </si>
  <si>
    <t>Nantayi Edith</t>
  </si>
  <si>
    <t>Ojambo Godfrey</t>
  </si>
  <si>
    <t>Kirinya</t>
  </si>
  <si>
    <t>Rwabushaija Henry</t>
  </si>
  <si>
    <t>Janna Makula Twebaza</t>
  </si>
  <si>
    <t>Among peace</t>
  </si>
  <si>
    <t>Abilla Mark Trevor</t>
  </si>
  <si>
    <t>Emmanuel Sown</t>
  </si>
  <si>
    <t>Jane Paruto</t>
  </si>
  <si>
    <t>Jerome Anene</t>
  </si>
  <si>
    <t>Kaweesa Meddie</t>
  </si>
  <si>
    <t>Muhenda Emmanuella</t>
  </si>
  <si>
    <t>Kakembo Joshua</t>
  </si>
  <si>
    <t>Kalungi Jolyne Jessie</t>
  </si>
  <si>
    <t>Muziga Barbara</t>
  </si>
  <si>
    <t>Nyakutula Morrin</t>
  </si>
  <si>
    <t>Nalwoga Penninah</t>
  </si>
  <si>
    <t>Agasha Emily</t>
  </si>
  <si>
    <t>Tumusiime Pius</t>
  </si>
  <si>
    <t>Mutuza Erine</t>
  </si>
  <si>
    <t>Kitesi Ryan</t>
  </si>
  <si>
    <t>Birole Dennis</t>
  </si>
  <si>
    <t>Merrily Paul</t>
  </si>
  <si>
    <t>Nturanako Dinah</t>
  </si>
  <si>
    <t xml:space="preserve">Nabanja Cathy </t>
  </si>
  <si>
    <t>Erong peter</t>
  </si>
  <si>
    <t>Kayesu Monica</t>
  </si>
  <si>
    <t>Akatukunda Allen</t>
  </si>
  <si>
    <t>Kalanguka Martin</t>
  </si>
  <si>
    <t>Ayebare Zaitun</t>
  </si>
  <si>
    <t>Mayeka Jovia</t>
  </si>
  <si>
    <t>Anguryo Victor</t>
  </si>
  <si>
    <t>Ntambi James</t>
  </si>
  <si>
    <t>Nagawa Rose</t>
  </si>
  <si>
    <t>Opolot Chloe</t>
  </si>
  <si>
    <t>Higenyi Harriet</t>
  </si>
  <si>
    <t>Lumala Ronald</t>
  </si>
  <si>
    <t>Mapendo</t>
  </si>
  <si>
    <t>Kisakye Ronald</t>
  </si>
  <si>
    <t>Mutyabule Rashid</t>
  </si>
  <si>
    <t>Omar Emmanuel</t>
  </si>
  <si>
    <t>Kobusingye Stella</t>
  </si>
  <si>
    <t>Nambejja Breta</t>
  </si>
  <si>
    <t xml:space="preserve">Kirinya </t>
  </si>
  <si>
    <t>Mwikio Victor</t>
  </si>
  <si>
    <t>Malista Ameny</t>
  </si>
  <si>
    <t>Wang shopping</t>
  </si>
  <si>
    <t>Kamugisha Elisha</t>
  </si>
  <si>
    <t>Adonia Carol</t>
  </si>
  <si>
    <t>Wandera David</t>
  </si>
  <si>
    <t>Amanya Derrick</t>
  </si>
  <si>
    <t>Namata Doreen</t>
  </si>
  <si>
    <t>Ankunda vastine</t>
  </si>
  <si>
    <t>Balano Emma</t>
  </si>
  <si>
    <t>Apio Laura</t>
  </si>
  <si>
    <t>Nayebare Emily</t>
  </si>
  <si>
    <t>Emma Matsiko</t>
  </si>
  <si>
    <t>Mushaka Danny</t>
  </si>
  <si>
    <t>Akakuza Bless</t>
  </si>
  <si>
    <t>Barinah Hayan</t>
  </si>
  <si>
    <t>Kiseka Frank</t>
  </si>
  <si>
    <t>Isabirye Saleh</t>
  </si>
  <si>
    <t>Nalwoga Cynthia</t>
  </si>
  <si>
    <t>Nagayi Sauda</t>
  </si>
  <si>
    <t>Magala Ella</t>
  </si>
  <si>
    <t>Komuhangi Joseline</t>
  </si>
  <si>
    <t>Naburanyi Mariam</t>
  </si>
  <si>
    <t>Achu Sophia</t>
  </si>
  <si>
    <t>Ayikia Andrew</t>
  </si>
  <si>
    <t>Musiimenta Desire</t>
  </si>
  <si>
    <t>Ronald Mpagi</t>
  </si>
  <si>
    <t>Akibua Alice</t>
  </si>
  <si>
    <t>Ebitu Namawejje</t>
  </si>
  <si>
    <t>Mutaguzi Joel</t>
  </si>
  <si>
    <t>Saidat Pesh</t>
  </si>
  <si>
    <t>Gweeneka Susan</t>
  </si>
  <si>
    <t>Basitwenzye Deborah</t>
  </si>
  <si>
    <t>Kayodi Beatrice</t>
  </si>
  <si>
    <t>Nabirye Martha</t>
  </si>
  <si>
    <t>Busiku Esther</t>
  </si>
  <si>
    <t>Semugabi Harry</t>
  </si>
  <si>
    <t>Hailey Ruth</t>
  </si>
  <si>
    <t>Abaasabyona Alex</t>
  </si>
  <si>
    <t>Nambozo sahra</t>
  </si>
  <si>
    <t xml:space="preserve">Mufumba Esther </t>
  </si>
  <si>
    <t>Muwasingura Rinnerd</t>
  </si>
  <si>
    <t>Zaninka Cynthia</t>
  </si>
  <si>
    <t>Ahebwa Arnold</t>
  </si>
  <si>
    <t>Birungi Ismail</t>
  </si>
  <si>
    <t>Lilian Nakatte</t>
  </si>
  <si>
    <t>Apio Doreen Mola</t>
  </si>
  <si>
    <t>Nyakato Joselyne</t>
  </si>
  <si>
    <t>Noyomugabi Phillip</t>
  </si>
  <si>
    <t>Mwanje Mark</t>
  </si>
  <si>
    <t>Otim Paul</t>
  </si>
  <si>
    <t>Mbazira calysta</t>
  </si>
  <si>
    <t>Walugembe Travis</t>
  </si>
  <si>
    <t>Nakavuba Josephine</t>
  </si>
  <si>
    <t>Pradeep Mani</t>
  </si>
  <si>
    <t>Kasim Mafuma</t>
  </si>
  <si>
    <t>Amuge Christine</t>
  </si>
  <si>
    <t>Wacha Joe</t>
  </si>
  <si>
    <t>Mutonya Carl</t>
  </si>
  <si>
    <t>Herbert Bera</t>
  </si>
  <si>
    <t>Mugisha Success</t>
  </si>
  <si>
    <t>Kasirye Jonathan</t>
  </si>
  <si>
    <t xml:space="preserve">Ahumuza Josiah </t>
  </si>
  <si>
    <t xml:space="preserve">Kobusingye Maureen </t>
  </si>
  <si>
    <t>Kikobye prossy</t>
  </si>
  <si>
    <t xml:space="preserve">Butere Ben </t>
  </si>
  <si>
    <t>Nankya Comfort</t>
  </si>
  <si>
    <t>Nanteza Glavan</t>
  </si>
  <si>
    <t>Ariho Raymond</t>
  </si>
  <si>
    <t>Odongkara Gladys</t>
  </si>
  <si>
    <t>Achola Jordan</t>
  </si>
  <si>
    <t>Nunda Melanie</t>
  </si>
  <si>
    <t>Matata Faustino</t>
  </si>
  <si>
    <t>Oyella Susan</t>
  </si>
  <si>
    <t>Kunda Angel Kutamba</t>
  </si>
  <si>
    <t>Kyokunda Lilian</t>
  </si>
  <si>
    <t>Kali Brian Okello</t>
  </si>
  <si>
    <t>Kagimu Ronald</t>
  </si>
  <si>
    <t>Kasirye Abbi</t>
  </si>
  <si>
    <t>Okello Simon Peter</t>
  </si>
  <si>
    <t>Mwanja Theon</t>
  </si>
  <si>
    <t>Mwanja Timothy</t>
  </si>
  <si>
    <t>Namataka Sofi</t>
  </si>
  <si>
    <t>Niwamanya Henry</t>
  </si>
  <si>
    <t>Zainah Murungi</t>
  </si>
  <si>
    <t>Kiseka Godfrey</t>
  </si>
  <si>
    <t>Hope Cheka</t>
  </si>
  <si>
    <t>Lamunu Beatrice</t>
  </si>
  <si>
    <t>Mulinji Joy</t>
  </si>
  <si>
    <t xml:space="preserve">Ankunda Imran </t>
  </si>
  <si>
    <t>Nabunya Carolyn</t>
  </si>
  <si>
    <t>Lule Hassan Hakim</t>
  </si>
  <si>
    <t>Kagimba Joshua</t>
  </si>
  <si>
    <t>Austin Eyobem</t>
  </si>
  <si>
    <t>Namande Sarah</t>
  </si>
  <si>
    <t>Bahati Amani</t>
  </si>
  <si>
    <t>Keith  Newton</t>
  </si>
  <si>
    <t>Kizza Mbale</t>
  </si>
  <si>
    <t>Namutebi phiona</t>
  </si>
  <si>
    <t>Nantayi  Brenda</t>
  </si>
  <si>
    <t>Akello  Leticia</t>
  </si>
  <si>
    <t>Martha  Kasaija</t>
  </si>
  <si>
    <t>Nakafeero Harriet</t>
  </si>
  <si>
    <t>Nakisuyi  Ariella</t>
  </si>
  <si>
    <t>Kinyera   Gift</t>
  </si>
  <si>
    <t>Nakintu  Dorothy</t>
  </si>
  <si>
    <t>Kwesiga  Divine</t>
  </si>
  <si>
    <t>Abidha Bin</t>
  </si>
  <si>
    <t>Kira</t>
  </si>
  <si>
    <t>Senyonjo Samuel</t>
  </si>
  <si>
    <t>Ssetuba  Jackson</t>
  </si>
  <si>
    <t>Mugumya  Logan</t>
  </si>
  <si>
    <t>Mutungi Desmond</t>
  </si>
  <si>
    <t>Mugabi  Norman</t>
  </si>
  <si>
    <t xml:space="preserve">Mutoni Esther </t>
  </si>
  <si>
    <t>Abdu Nassir</t>
  </si>
  <si>
    <t>Precious Dushime</t>
  </si>
  <si>
    <t>Birabwa Immaculate</t>
  </si>
  <si>
    <t>Musimbi Emmanuel</t>
  </si>
  <si>
    <t>Busingye  Elizabeth</t>
  </si>
  <si>
    <t>Muwanguzi David</t>
  </si>
  <si>
    <t>Namwemba Agnes</t>
  </si>
  <si>
    <t>Bagoth saaed</t>
  </si>
  <si>
    <t>Yasmine Arite</t>
  </si>
  <si>
    <t>Nakyanzi Iman</t>
  </si>
  <si>
    <t>Ainomugisha precious</t>
  </si>
  <si>
    <t>Abraham Otai</t>
  </si>
  <si>
    <t>Aaron Nueman</t>
  </si>
  <si>
    <t>Masikini Vito</t>
  </si>
  <si>
    <t>Nakiwa Margaret</t>
  </si>
  <si>
    <t>Muweto Jesse</t>
  </si>
  <si>
    <t>Mwanje Samuel</t>
  </si>
  <si>
    <t>Ephraim Kwizera</t>
  </si>
  <si>
    <t>Sekasi  Emma</t>
  </si>
  <si>
    <t xml:space="preserve">Mboha  Michelle </t>
  </si>
  <si>
    <t xml:space="preserve">Atwiine Ronnie </t>
  </si>
  <si>
    <t>Awero  Rita</t>
  </si>
  <si>
    <t>Mandela Enzo</t>
  </si>
  <si>
    <t>Ogwang Harry</t>
  </si>
  <si>
    <t>Nalwanga Rebecca</t>
  </si>
  <si>
    <t>Akello Margaret</t>
  </si>
  <si>
    <t xml:space="preserve">Nanoka Hassan </t>
  </si>
  <si>
    <t xml:space="preserve">Dynoi  Jeremy </t>
  </si>
  <si>
    <t>Birungi Grace</t>
  </si>
  <si>
    <t>Businge Wilson</t>
  </si>
  <si>
    <t>Muhame Bruce</t>
  </si>
  <si>
    <t>Ratib Mirigan</t>
  </si>
  <si>
    <t>Atim  Jennifer</t>
  </si>
  <si>
    <t>Serugo  Jayden</t>
  </si>
  <si>
    <t>Musiimenta  Prudence</t>
  </si>
  <si>
    <t>Mugumya  Oswan</t>
  </si>
  <si>
    <t>Nalunkuma  Eva</t>
  </si>
  <si>
    <t>Naigaga  Racheal</t>
  </si>
  <si>
    <t>Ntarirwa  Dean</t>
  </si>
  <si>
    <t>Nafula  peace</t>
  </si>
  <si>
    <t>Mubeezi  Sandra</t>
  </si>
  <si>
    <t>Akol  Christine</t>
  </si>
  <si>
    <t>Kamukama  Aggrey</t>
  </si>
  <si>
    <t xml:space="preserve">Ndizihiwe  Andrew </t>
  </si>
  <si>
    <t>Sentanda  Moses</t>
  </si>
  <si>
    <t>Ssonko Hakim</t>
  </si>
  <si>
    <t>Lule Joash Henry</t>
  </si>
  <si>
    <t xml:space="preserve">Ninsimire  Celine </t>
  </si>
  <si>
    <t>Joana Masaba</t>
  </si>
  <si>
    <t>Malimoto  Biron</t>
  </si>
  <si>
    <t>Okanya  Joshua</t>
  </si>
  <si>
    <t>Kayongo Simon</t>
  </si>
  <si>
    <t>Shirlyne Agaba</t>
  </si>
  <si>
    <t>Akusubiza Rizbaker</t>
  </si>
  <si>
    <t>Alupo  Priscilla</t>
  </si>
  <si>
    <t>Natukunda Irene</t>
  </si>
  <si>
    <t>Kayizi  Garvin</t>
  </si>
  <si>
    <t>Blessing  Nabimanya</t>
  </si>
  <si>
    <t xml:space="preserve"> Nakawa </t>
  </si>
  <si>
    <t>Logose  Doreen</t>
  </si>
  <si>
    <t>Aguti  Careen</t>
  </si>
  <si>
    <t>Mulungi  Buggy</t>
  </si>
  <si>
    <t>Bunori  Hope</t>
  </si>
  <si>
    <t>Aisha  Jamila</t>
  </si>
  <si>
    <t>Opus Christian Ethan</t>
  </si>
  <si>
    <t>Nalubega Jesca</t>
  </si>
  <si>
    <t>Nakabugo Barbara</t>
  </si>
  <si>
    <t>Wabirwe Anthony Xavier</t>
  </si>
  <si>
    <t>Aceng Racheal</t>
  </si>
  <si>
    <t>Gitau Alice Muthoni</t>
  </si>
  <si>
    <t>Abwin Viola</t>
  </si>
  <si>
    <t>Musiime Faith</t>
  </si>
  <si>
    <t>Ssebagala Edward</t>
  </si>
  <si>
    <t>Atukunda Elijah</t>
  </si>
  <si>
    <t>Buyondo Blessing Shalom</t>
  </si>
  <si>
    <t>Twinomujuka Edward</t>
  </si>
  <si>
    <t>Aine Amira</t>
  </si>
  <si>
    <t>Bakhi Phillo</t>
  </si>
  <si>
    <t>Namakula Nulu</t>
  </si>
  <si>
    <t>Kalibbala Jorge</t>
  </si>
  <si>
    <t xml:space="preserve">Twikirize Adriel Asiimwe </t>
  </si>
  <si>
    <t>Bunena  Asiria</t>
  </si>
  <si>
    <t>Ajego Claire</t>
  </si>
  <si>
    <t>Kakyo Karen</t>
  </si>
  <si>
    <t>Nakaweesa Ritah</t>
  </si>
  <si>
    <t>Atukunda Judith</t>
  </si>
  <si>
    <t>Atim Gabriella</t>
  </si>
  <si>
    <t>Kabanda Ivan</t>
  </si>
  <si>
    <t>Aira  sharesha</t>
  </si>
  <si>
    <t>Nansumba Rachel</t>
  </si>
  <si>
    <t>Tuhaise  Gloria</t>
  </si>
  <si>
    <t>Oyet  Samuel</t>
  </si>
  <si>
    <t>Man London k</t>
  </si>
  <si>
    <t>Bako  Christine</t>
  </si>
  <si>
    <t>Kasule Ronald</t>
  </si>
  <si>
    <t>Wajega Pius</t>
  </si>
  <si>
    <t>Othieno Jesse  Jimmy</t>
  </si>
  <si>
    <t>Monga  Felix</t>
  </si>
  <si>
    <t>Obure Stephen Wajonga</t>
  </si>
  <si>
    <t>Nankunda Allen Babihuga</t>
  </si>
  <si>
    <t>Jeepu Jonathan</t>
  </si>
  <si>
    <t xml:space="preserve">Kirungi  Esther </t>
  </si>
  <si>
    <t>Natukunda Ethan</t>
  </si>
  <si>
    <t xml:space="preserve">Mwanzi  Denis </t>
  </si>
  <si>
    <t>Dorothy Birungi</t>
  </si>
  <si>
    <t xml:space="preserve">Richard Ogwang </t>
  </si>
  <si>
    <t>Komuhendo Fred</t>
  </si>
  <si>
    <t>Karungi Gabriella</t>
  </si>
  <si>
    <t>Angela  Mayat</t>
  </si>
  <si>
    <t>Kitamirike Nathan</t>
  </si>
  <si>
    <t>Osire Peter</t>
  </si>
  <si>
    <t>Apio Lydia</t>
  </si>
  <si>
    <t>Akuguzibwe Steven</t>
  </si>
  <si>
    <t>Nsubuga Swaleh</t>
  </si>
  <si>
    <t>Shamirah Nabagala</t>
  </si>
  <si>
    <t>Hadasta Kylie</t>
  </si>
  <si>
    <t>Irene Nabbata</t>
  </si>
  <si>
    <t xml:space="preserve">Ankunda Denis </t>
  </si>
  <si>
    <t>Ssemakula Rehema</t>
  </si>
  <si>
    <t xml:space="preserve">Mary Among </t>
  </si>
  <si>
    <t xml:space="preserve">Bruce Asiimwe </t>
  </si>
  <si>
    <t>Kanyike Ronald</t>
  </si>
  <si>
    <t xml:space="preserve">Nankabirwa Resty </t>
  </si>
  <si>
    <t>Tibenkana Catherine</t>
  </si>
  <si>
    <t>Hiirwa Isaac</t>
  </si>
  <si>
    <t>Mark Kukundakwe</t>
  </si>
  <si>
    <t>Mutabazi  Wycliff</t>
  </si>
  <si>
    <t>Mubeezi Michael</t>
  </si>
  <si>
    <t xml:space="preserve">Muhangi John Mary </t>
  </si>
  <si>
    <t>Akiror  Magdalene</t>
  </si>
  <si>
    <t>Namusisi Francisca</t>
  </si>
  <si>
    <t>Nakitto  Stella</t>
  </si>
  <si>
    <t>Nakaweesa  Gloria</t>
  </si>
  <si>
    <t>Econga  Geofrey</t>
  </si>
  <si>
    <t>Ssali  John Paul</t>
  </si>
  <si>
    <t>Kugonza Meima</t>
  </si>
  <si>
    <t>Tumwikiriza  Joan</t>
  </si>
  <si>
    <t>Kisakye Esther Nakisube</t>
  </si>
  <si>
    <t xml:space="preserve">Namuwaya  Miriam </t>
  </si>
  <si>
    <t>Mubeezi Margie</t>
  </si>
  <si>
    <t>Arikosi  Matthew Otim</t>
  </si>
  <si>
    <t>Tukundane Monic</t>
  </si>
  <si>
    <t>Naguru</t>
  </si>
  <si>
    <t>Eshan  Ali  Margach</t>
  </si>
  <si>
    <t>Kian  Morish</t>
  </si>
  <si>
    <t>Joseph Billigraham</t>
  </si>
  <si>
    <t>Bamataka Brenda</t>
  </si>
  <si>
    <t>Kirabira Adam</t>
  </si>
  <si>
    <t>Otim johnstone</t>
  </si>
  <si>
    <t>Mbahiirwa Drake</t>
  </si>
  <si>
    <t>Ashaba  Albert</t>
  </si>
  <si>
    <t>Odongo Daniel Duke</t>
  </si>
  <si>
    <t>Kagabane Kaitlyn</t>
  </si>
  <si>
    <t xml:space="preserve">Nabachwa  Mary </t>
  </si>
  <si>
    <t>Nimweziga  Hilda</t>
  </si>
  <si>
    <t>Edigo  John</t>
  </si>
  <si>
    <t>Laloyo  Michelle</t>
  </si>
  <si>
    <t>Mpiirwe  Princess</t>
  </si>
  <si>
    <t>Aseun  Gracious</t>
  </si>
  <si>
    <t>Muriisa  David</t>
  </si>
  <si>
    <t>Omika  Aisha</t>
  </si>
  <si>
    <t>Ongika  Joel</t>
  </si>
  <si>
    <t>Owomugisha  Shanita</t>
  </si>
  <si>
    <t>Mulya Eunice</t>
  </si>
  <si>
    <t>Madira Alex</t>
  </si>
  <si>
    <t>Atumanya  Samuel</t>
  </si>
  <si>
    <t>Nakimuli Stephanie</t>
  </si>
  <si>
    <t>Kyomugasho  Rosebell</t>
  </si>
  <si>
    <t>Ipeto  James Aggrey</t>
  </si>
  <si>
    <t>Kyomuhangi  Rose</t>
  </si>
  <si>
    <t>Namugema Oliver</t>
  </si>
  <si>
    <t>Singiza Moonie</t>
  </si>
  <si>
    <t>Ssemanda Samuel</t>
  </si>
  <si>
    <t>Kagoro  Birungi</t>
  </si>
  <si>
    <t>Ogwal Travin</t>
  </si>
  <si>
    <t>Mukalamusi  Ainda</t>
  </si>
  <si>
    <t>Kamarungu Teopista</t>
  </si>
  <si>
    <t>Omalla Simon</t>
  </si>
  <si>
    <t>Angudubo  Arumadri</t>
  </si>
  <si>
    <t>Bukesiga  Mugisha</t>
  </si>
  <si>
    <t xml:space="preserve">Namuyunja  Peace </t>
  </si>
  <si>
    <t xml:space="preserve">Naguru </t>
  </si>
  <si>
    <t>Kamal chauhan</t>
  </si>
  <si>
    <t>Daniella  Sanyu</t>
  </si>
  <si>
    <t>Ssemanda  Rogers</t>
  </si>
  <si>
    <t>Kasibante  Joel</t>
  </si>
  <si>
    <t>Komakech  Thomas</t>
  </si>
  <si>
    <t>Namwonja  Julian</t>
  </si>
  <si>
    <t xml:space="preserve">Mugisha Keith </t>
  </si>
  <si>
    <t>Arinda Allan Biriiso</t>
  </si>
  <si>
    <t>Ainomugisha Annitah</t>
  </si>
  <si>
    <t>Nakabiri  Vanessa</t>
  </si>
  <si>
    <t>Suubi  Christine</t>
  </si>
  <si>
    <t>Sekajolo  Hassan</t>
  </si>
  <si>
    <t>Nasirumbi  Staicy</t>
  </si>
  <si>
    <t>Amolo  Betty</t>
  </si>
  <si>
    <t>Ayella  Ceasar</t>
  </si>
  <si>
    <t>Babirye Bob</t>
  </si>
  <si>
    <t>Nkunda  Ashley</t>
  </si>
  <si>
    <t>Bicanaka Mark</t>
  </si>
  <si>
    <t xml:space="preserve">Ogwal  Benin </t>
  </si>
  <si>
    <t>Kisa  Gloria</t>
  </si>
  <si>
    <t>Nanziri  Sharifa</t>
  </si>
  <si>
    <t>Lwanga  Nathan</t>
  </si>
  <si>
    <t>Gaika  Samuel</t>
  </si>
  <si>
    <t>Nabaweesi  Jane</t>
  </si>
  <si>
    <t>Asaba  Kasifa</t>
  </si>
  <si>
    <t>Nakabuye  Aurah</t>
  </si>
  <si>
    <t>Demuel Musiime</t>
  </si>
  <si>
    <t>Brian Waila</t>
  </si>
  <si>
    <t>Alex Ariho</t>
  </si>
  <si>
    <t>Joshua Ezekiel</t>
  </si>
  <si>
    <t>Alinda  Brian</t>
  </si>
  <si>
    <t>Solomon Kitumba</t>
  </si>
  <si>
    <t>John Livingstone</t>
  </si>
  <si>
    <t>Silwany  James</t>
  </si>
  <si>
    <t>Elongot  Bob</t>
  </si>
  <si>
    <t>Okwakunda  Morgan</t>
  </si>
  <si>
    <t>Ndiramiye  Julius</t>
  </si>
  <si>
    <t>Munezero  Divine</t>
  </si>
  <si>
    <t>Kivumbi  Teddie</t>
  </si>
  <si>
    <t xml:space="preserve">Mukana  Darwin </t>
  </si>
  <si>
    <t>Mulungi Michael</t>
  </si>
  <si>
    <t>Masembe  William</t>
  </si>
  <si>
    <t xml:space="preserve">Sekitto Faisal </t>
  </si>
  <si>
    <t>Komuntale  Ruth</t>
  </si>
  <si>
    <t>Ntambi  Sehambo</t>
  </si>
  <si>
    <t>Mukasa  Hellen</t>
  </si>
  <si>
    <t>Atukunda Chloe</t>
  </si>
  <si>
    <t>Ndishababi  Dorothy</t>
  </si>
  <si>
    <t>Sobriosky Lauren</t>
  </si>
  <si>
    <t>Jason  stencil</t>
  </si>
  <si>
    <t xml:space="preserve">Collin  William </t>
  </si>
  <si>
    <t>Opio Genien</t>
  </si>
  <si>
    <t>Musumba Brian</t>
  </si>
  <si>
    <t>Kiyimba Edrine</t>
  </si>
  <si>
    <t>Jakira  Isaac</t>
  </si>
  <si>
    <t>Nevan Mirembe</t>
  </si>
  <si>
    <t>Nakyanzi  Inaaya</t>
  </si>
  <si>
    <t>Nuwasima  Afra</t>
  </si>
  <si>
    <t xml:space="preserve">Busingye Rhoda </t>
  </si>
  <si>
    <t>Aseye Nora</t>
  </si>
  <si>
    <t>Odong Michael</t>
  </si>
  <si>
    <t>Owen  Africano</t>
  </si>
  <si>
    <t>Kisa  Jonathan</t>
  </si>
  <si>
    <t>Emiru Nordota</t>
  </si>
  <si>
    <t>Kageha Emmy</t>
  </si>
  <si>
    <t>Nanyonjo joselyn Abi</t>
  </si>
  <si>
    <t>Nyakanzi Dellah</t>
  </si>
  <si>
    <t>Asiimwe Leila</t>
  </si>
  <si>
    <t>Musiimenta Jane</t>
  </si>
  <si>
    <t>Egesa  Caroline</t>
  </si>
  <si>
    <t xml:space="preserve">Bayo Pontius </t>
  </si>
  <si>
    <t xml:space="preserve">Lamony Maurice </t>
  </si>
  <si>
    <t>Zac  Kakyama</t>
  </si>
  <si>
    <t>Karekaho  Naomi</t>
  </si>
  <si>
    <t xml:space="preserve">Mukwaya Bilal </t>
  </si>
  <si>
    <t>Allen Busingye</t>
  </si>
  <si>
    <t>Guttabingi  Chelsea</t>
  </si>
  <si>
    <t>Kasiga  Kyle</t>
  </si>
  <si>
    <t>Nabatanzi Barbara</t>
  </si>
  <si>
    <t>Patrick Pedro Namansa</t>
  </si>
  <si>
    <t>Matabi Martin</t>
  </si>
  <si>
    <t>Nakiyingi  Fatuma</t>
  </si>
  <si>
    <t>Nakazzi  Caroline</t>
  </si>
  <si>
    <t>Ahuririra Asher</t>
  </si>
  <si>
    <t>Nakato Joanita</t>
  </si>
  <si>
    <t>Asiimwe Immaculate</t>
  </si>
  <si>
    <t xml:space="preserve">Kyagaba Isaac </t>
  </si>
  <si>
    <t>Kamuli</t>
  </si>
  <si>
    <t xml:space="preserve">Mukiibi  Lawrence </t>
  </si>
  <si>
    <t>Ella  Emong</t>
  </si>
  <si>
    <t xml:space="preserve">Musisi Fredrick </t>
  </si>
  <si>
    <t>Imugen  Grace</t>
  </si>
  <si>
    <t>Maraka  Brenda</t>
  </si>
  <si>
    <t>Guma Ken</t>
  </si>
  <si>
    <t>Uwizeye Faith</t>
  </si>
  <si>
    <t xml:space="preserve">Agwal  Darius </t>
  </si>
  <si>
    <t>Muhindo Ham</t>
  </si>
  <si>
    <t>Demad Rutalina</t>
  </si>
  <si>
    <t>Nambazira  Luswata</t>
  </si>
  <si>
    <t>Musambi  George</t>
  </si>
  <si>
    <t xml:space="preserve">Negesa  Monica </t>
  </si>
  <si>
    <t>Geofrey  Nsubuga</t>
  </si>
  <si>
    <t>Moreen Musiimenta</t>
  </si>
  <si>
    <t>Athieno  Dorothy</t>
  </si>
  <si>
    <t>Twesigye  Bosco</t>
  </si>
  <si>
    <t>Justine  kyosiimire</t>
  </si>
  <si>
    <t>Okalany  Daniel</t>
  </si>
  <si>
    <t xml:space="preserve">Nakamya  Esther </t>
  </si>
  <si>
    <t>Kamul</t>
  </si>
  <si>
    <t xml:space="preserve">Ashaba  Annet </t>
  </si>
  <si>
    <t>Justine Okullu</t>
  </si>
  <si>
    <t>Namagga  Sharua</t>
  </si>
  <si>
    <t>Kemitai  Charlotte</t>
  </si>
  <si>
    <t xml:space="preserve">Musinguzi  Wilson </t>
  </si>
  <si>
    <t>Kasasa  Tabitha</t>
  </si>
  <si>
    <t>Tahir Mehmood</t>
  </si>
  <si>
    <t>Oker  Calvin</t>
  </si>
  <si>
    <t xml:space="preserve">Byamukama  Moses </t>
  </si>
  <si>
    <t>Anwar Fareed  Yiga</t>
  </si>
  <si>
    <t>Waliggo Lusiba Arafat</t>
  </si>
  <si>
    <t>Espan  Charles</t>
  </si>
  <si>
    <t>Kakure  Doreen</t>
  </si>
  <si>
    <t>Magezi Fortune</t>
  </si>
  <si>
    <t>Atai Lydia</t>
  </si>
  <si>
    <t>Nalubega  Havinah</t>
  </si>
  <si>
    <t>Nuwahereza Patience</t>
  </si>
  <si>
    <t>Suzan Nkinzi</t>
  </si>
  <si>
    <t>Muganza Isaac</t>
  </si>
  <si>
    <t>Okitoi Sam</t>
  </si>
  <si>
    <t>Muwanguzi Samuel</t>
  </si>
  <si>
    <t>Sarah  H</t>
  </si>
  <si>
    <t>Muwangula Solomon</t>
  </si>
  <si>
    <t>Semambo Emmanuel</t>
  </si>
  <si>
    <t>Muhamad Memoon</t>
  </si>
  <si>
    <t>Abeneitwe  Lucy</t>
  </si>
  <si>
    <t>Atim  Diana Agnes</t>
  </si>
  <si>
    <t>Dratelle  Kennedy</t>
  </si>
  <si>
    <t>Asiimwe Aiden</t>
  </si>
  <si>
    <t>Asio Sandra</t>
  </si>
  <si>
    <t>Ndagire  Sarah</t>
  </si>
  <si>
    <t>Kirabo louisa</t>
  </si>
  <si>
    <t>Kusiimwa  Kiiza</t>
  </si>
  <si>
    <t>Masaba  Fred</t>
  </si>
  <si>
    <t>Andrew  Obonyo</t>
  </si>
  <si>
    <t>Kyarisiima  Hilda</t>
  </si>
  <si>
    <t>Haumba  Favour</t>
  </si>
  <si>
    <t>Doreen  Kugonza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</si>
</sst>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-mmm-yy"/>
    <numFmt numFmtId="165" formatCode="d-mmmm-yy"/>
    <numFmt numFmtId="166" formatCode="m/d/yyyy"/>
    <numFmt numFmtId="167" formatCode="dd mmm yy"/>
    <numFmt numFmtId="168" formatCode="d,mmm,yy"/>
    <numFmt numFmtId="169" formatCode="dd-mmm-yy"/>
    <numFmt numFmtId="170" formatCode="d-mmm-yyyy"/>
    <numFmt numFmtId="171" formatCode="M/d/yyyy"/>
    <numFmt numFmtId="172" formatCode="m/d/yy"/>
    <numFmt numFmtId="173" formatCode="d,mmm"/>
    <numFmt numFmtId="174" formatCode="d-mmmyy"/>
  </numFmts>
  <fonts count="18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21212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3.0"/>
      <color theme="1"/>
      <name val="Arial"/>
      <scheme val="minor"/>
    </font>
    <font>
      <b/>
      <color rgb="FF000000"/>
      <name val="Arial"/>
    </font>
    <font>
      <b/>
      <sz val="14.0"/>
      <color rgb="FF000000"/>
      <name val="Calibri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Arial"/>
    </font>
    <font>
      <b/>
      <color rgb="FFFF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theme="6"/>
        <bgColor theme="6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4285F4"/>
      </patternFill>
    </fill>
    <fill>
      <patternFill patternType="solid">
        <fgColor rgb="FFFF00FF"/>
        <bgColor rgb="FFFF00FF"/>
      </patternFill>
    </fill>
    <fill>
      <patternFill patternType="solid">
        <fgColor theme="7"/>
        <bgColor theme="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vertical="bottom" wrapText="0"/>
    </xf>
    <xf borderId="0" fillId="0" fontId="3" numFmtId="0" xfId="0" applyFont="1"/>
    <xf borderId="0" fillId="2" fontId="4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shrinkToFit="0" vertical="bottom" wrapText="0"/>
    </xf>
    <xf borderId="0" fillId="0" fontId="5" numFmtId="0" xfId="0" applyFont="1"/>
    <xf borderId="0" fillId="2" fontId="4" numFmtId="3" xfId="0" applyAlignment="1" applyFont="1" applyNumberFormat="1">
      <alignment shrinkToFit="0" vertical="bottom" wrapText="0"/>
    </xf>
    <xf borderId="0" fillId="0" fontId="5" numFmtId="3" xfId="0" applyFont="1" applyNumberFormat="1"/>
    <xf borderId="0" fillId="2" fontId="4" numFmtId="0" xfId="0" applyAlignment="1" applyFont="1">
      <alignment horizontal="right" shrinkToFit="0" vertical="bottom" wrapText="0"/>
    </xf>
    <xf borderId="0" fillId="3" fontId="6" numFmtId="0" xfId="0" applyAlignment="1" applyFill="1" applyFont="1">
      <alignment readingOrder="0" shrinkToFit="0" wrapText="0"/>
    </xf>
    <xf borderId="0" fillId="2" fontId="4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shrinkToFit="0" vertical="bottom" wrapText="0"/>
    </xf>
    <xf borderId="0" fillId="2" fontId="7" numFmtId="0" xfId="0" applyAlignment="1" applyFont="1">
      <alignment horizontal="right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readingOrder="0"/>
    </xf>
    <xf borderId="1" fillId="2" fontId="4" numFmtId="0" xfId="0" applyAlignment="1" applyBorder="1" applyFont="1">
      <alignment readingOrder="0" shrinkToFit="0" vertical="bottom" wrapText="0"/>
    </xf>
    <xf borderId="2" fillId="2" fontId="4" numFmtId="0" xfId="0" applyAlignment="1" applyBorder="1" applyFont="1">
      <alignment horizontal="right" readingOrder="0" shrinkToFit="0" vertical="bottom" wrapText="0"/>
    </xf>
    <xf borderId="0" fillId="2" fontId="5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0"/>
    </xf>
    <xf borderId="0" fillId="2" fontId="1" numFmtId="3" xfId="0" applyAlignment="1" applyFont="1" applyNumberFormat="1">
      <alignment shrinkToFit="0" vertical="bottom" wrapText="0"/>
    </xf>
    <xf borderId="0" fillId="2" fontId="7" numFmtId="3" xfId="0" applyAlignment="1" applyFont="1" applyNumberFormat="1">
      <alignment horizontal="right" readingOrder="0" vertical="bottom"/>
    </xf>
    <xf borderId="0" fillId="2" fontId="1" numFmtId="0" xfId="0" applyAlignment="1" applyFont="1">
      <alignment horizontal="center" readingOrder="0" shrinkToFit="0" vertical="bottom" wrapText="0"/>
    </xf>
    <xf borderId="0" fillId="2" fontId="5" numFmtId="0" xfId="0" applyFont="1"/>
    <xf borderId="0" fillId="2" fontId="7" numFmtId="3" xfId="0" applyAlignment="1" applyFont="1" applyNumberFormat="1">
      <alignment horizontal="right" readingOrder="0" shrinkToFit="0" vertical="bottom" wrapText="0"/>
    </xf>
    <xf borderId="0" fillId="2" fontId="7" numFmtId="3" xfId="0" applyAlignment="1" applyFont="1" applyNumberFormat="1">
      <alignment horizontal="right" shrinkToFit="0" vertical="bottom" wrapText="0"/>
    </xf>
    <xf borderId="0" fillId="2" fontId="7" numFmtId="164" xfId="0" applyAlignment="1" applyFont="1" applyNumberFormat="1">
      <alignment horizontal="right" readingOrder="0" shrinkToFit="0" vertical="bottom" wrapText="0"/>
    </xf>
    <xf borderId="0" fillId="2" fontId="7" numFmtId="0" xfId="0" applyAlignment="1" applyFont="1">
      <alignment horizontal="right" readingOrder="0" shrinkToFit="0" vertical="bottom" wrapText="0"/>
    </xf>
    <xf borderId="0" fillId="2" fontId="7" numFmtId="164" xfId="0" applyAlignment="1" applyFont="1" applyNumberFormat="1">
      <alignment horizontal="right" shrinkToFit="0" vertical="bottom" wrapText="0"/>
    </xf>
    <xf borderId="0" fillId="2" fontId="7" numFmtId="165" xfId="0" applyAlignment="1" applyFont="1" applyNumberFormat="1">
      <alignment horizontal="right" shrinkToFit="0" vertical="bottom" wrapText="0"/>
    </xf>
    <xf borderId="0" fillId="2" fontId="7" numFmtId="3" xfId="0" applyAlignment="1" applyFont="1" applyNumberFormat="1">
      <alignment horizontal="right" vertical="bottom"/>
    </xf>
    <xf borderId="0" fillId="2" fontId="7" numFmtId="165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horizontal="right" shrinkToFit="0" vertical="bottom" wrapText="0"/>
    </xf>
    <xf borderId="0" fillId="2" fontId="2" numFmtId="3" xfId="0" applyAlignment="1" applyFont="1" applyNumberFormat="1">
      <alignment horizontal="right" readingOrder="0" shrinkToFit="0" vertical="bottom" wrapText="0"/>
    </xf>
    <xf borderId="0" fillId="4" fontId="2" numFmtId="0" xfId="0" applyAlignment="1" applyFill="1" applyFont="1">
      <alignment shrinkToFit="0" vertical="bottom" wrapText="0"/>
    </xf>
    <xf borderId="0" fillId="4" fontId="2" numFmtId="0" xfId="0" applyAlignment="1" applyFont="1">
      <alignment horizontal="right" shrinkToFit="0" vertical="bottom" wrapText="0"/>
    </xf>
    <xf borderId="0" fillId="4" fontId="7" numFmtId="3" xfId="0" applyAlignment="1" applyFont="1" applyNumberFormat="1">
      <alignment horizontal="right" shrinkToFit="0" vertical="bottom" wrapText="0"/>
    </xf>
    <xf borderId="0" fillId="4" fontId="7" numFmtId="3" xfId="0" applyAlignment="1" applyFont="1" applyNumberFormat="1">
      <alignment horizontal="right" readingOrder="0" shrinkToFit="0" vertical="bottom" wrapText="0"/>
    </xf>
    <xf borderId="0" fillId="4" fontId="7" numFmtId="165" xfId="0" applyAlignment="1" applyFont="1" applyNumberFormat="1">
      <alignment horizontal="right" shrinkToFit="0" vertical="bottom" wrapText="0"/>
    </xf>
    <xf borderId="0" fillId="4" fontId="7" numFmtId="164" xfId="0" applyAlignment="1" applyFont="1" applyNumberFormat="1">
      <alignment horizontal="right" shrinkToFit="0" vertical="bottom" wrapText="0"/>
    </xf>
    <xf borderId="0" fillId="4" fontId="7" numFmtId="0" xfId="0" applyAlignment="1" applyFont="1">
      <alignment shrinkToFit="0" vertical="bottom" wrapText="0"/>
    </xf>
    <xf borderId="0" fillId="4" fontId="5" numFmtId="0" xfId="0" applyFont="1"/>
    <xf borderId="0" fillId="2" fontId="7" numFmtId="0" xfId="0" applyAlignment="1" applyFont="1">
      <alignment vertical="bottom"/>
    </xf>
    <xf borderId="0" fillId="2" fontId="7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7" numFmtId="164" xfId="0" applyAlignment="1" applyFont="1" applyNumberFormat="1">
      <alignment horizontal="right" vertical="bottom"/>
    </xf>
    <xf borderId="0" fillId="2" fontId="2" numFmtId="3" xfId="0" applyAlignment="1" applyFont="1" applyNumberFormat="1">
      <alignment horizontal="right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4" fontId="7" numFmtId="0" xfId="0" applyAlignment="1" applyFont="1">
      <alignment horizontal="right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4" fontId="7" numFmtId="166" xfId="0" applyAlignment="1" applyFont="1" applyNumberFormat="1">
      <alignment horizontal="right" shrinkToFit="0" vertical="bottom" wrapText="0"/>
    </xf>
    <xf borderId="0" fillId="2" fontId="7" numFmtId="165" xfId="0" applyAlignment="1" applyFont="1" applyNumberFormat="1">
      <alignment horizontal="right" readingOrder="0" vertical="bottom"/>
    </xf>
    <xf borderId="0" fillId="2" fontId="7" numFmtId="164" xfId="0" applyAlignment="1" applyFont="1" applyNumberFormat="1">
      <alignment horizontal="right" readingOrder="0" vertical="bottom"/>
    </xf>
    <xf borderId="0" fillId="2" fontId="4" numFmtId="3" xfId="0" applyAlignment="1" applyFont="1" applyNumberFormat="1">
      <alignment readingOrder="0" shrinkToFit="0" vertical="bottom" wrapText="0"/>
    </xf>
    <xf borderId="0" fillId="5" fontId="5" numFmtId="0" xfId="0" applyFill="1" applyFont="1"/>
    <xf borderId="0" fillId="6" fontId="5" numFmtId="0" xfId="0" applyFill="1" applyFont="1"/>
    <xf borderId="0" fillId="2" fontId="7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2" numFmtId="3" xfId="0" applyAlignment="1" applyFont="1" applyNumberFormat="1">
      <alignment horizontal="right" readingOrder="0" vertical="bottom"/>
    </xf>
    <xf borderId="0" fillId="2" fontId="7" numFmtId="0" xfId="0" applyAlignment="1" applyFont="1">
      <alignment readingOrder="0" shrinkToFit="0" vertical="bottom" wrapText="0"/>
    </xf>
    <xf borderId="0" fillId="2" fontId="5" numFmtId="3" xfId="0" applyAlignment="1" applyFont="1" applyNumberFormat="1">
      <alignment readingOrder="0"/>
    </xf>
    <xf borderId="0" fillId="2" fontId="7" numFmtId="11" xfId="0" applyAlignment="1" applyFont="1" applyNumberFormat="1">
      <alignment horizontal="right" shrinkToFit="0" vertical="bottom" wrapText="0"/>
    </xf>
    <xf borderId="0" fillId="2" fontId="5" numFmtId="0" xfId="0" applyAlignment="1" applyFont="1">
      <alignment readingOrder="0" shrinkToFit="0" wrapText="1"/>
    </xf>
    <xf borderId="0" fillId="2" fontId="5" numFmtId="3" xfId="0" applyAlignment="1" applyFont="1" applyNumberFormat="1">
      <alignment readingOrder="0" shrinkToFit="0" wrapText="1"/>
    </xf>
    <xf borderId="0" fillId="2" fontId="5" numFmtId="167" xfId="0" applyAlignment="1" applyFont="1" applyNumberFormat="1">
      <alignment readingOrder="0" shrinkToFit="0" wrapText="1"/>
    </xf>
    <xf borderId="0" fillId="2" fontId="7" numFmtId="0" xfId="0" applyAlignment="1" applyFont="1">
      <alignment readingOrder="0" vertical="bottom"/>
    </xf>
    <xf borderId="0" fillId="4" fontId="2" numFmtId="3" xfId="0" applyAlignment="1" applyFont="1" applyNumberFormat="1">
      <alignment horizontal="right" shrinkToFit="0" vertical="bottom" wrapText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3" xfId="0" applyAlignment="1" applyFont="1" applyNumberFormat="1">
      <alignment shrinkToFit="0" vertical="bottom" wrapText="0"/>
    </xf>
    <xf borderId="0" fillId="7" fontId="5" numFmtId="0" xfId="0" applyFill="1" applyFont="1"/>
    <xf borderId="0" fillId="8" fontId="5" numFmtId="0" xfId="0" applyFill="1" applyFont="1"/>
    <xf borderId="0" fillId="2" fontId="5" numFmtId="0" xfId="0" applyAlignment="1" applyFont="1">
      <alignment shrinkToFit="0" wrapText="1"/>
    </xf>
    <xf borderId="0" fillId="4" fontId="7" numFmtId="0" xfId="0" applyAlignment="1" applyFont="1">
      <alignment horizontal="right" readingOrder="0" shrinkToFit="0" vertical="bottom" wrapText="0"/>
    </xf>
    <xf borderId="0" fillId="4" fontId="7" numFmtId="164" xfId="0" applyAlignment="1" applyFont="1" applyNumberFormat="1">
      <alignment horizontal="right" readingOrder="0" shrinkToFit="0" vertical="bottom" wrapText="0"/>
    </xf>
    <xf borderId="0" fillId="4" fontId="7" numFmtId="165" xfId="0" applyAlignment="1" applyFont="1" applyNumberFormat="1">
      <alignment horizontal="right" readingOrder="0" shrinkToFit="0" vertical="bottom" wrapText="0"/>
    </xf>
    <xf borderId="0" fillId="2" fontId="7" numFmtId="166" xfId="0" applyAlignment="1" applyFont="1" applyNumberFormat="1">
      <alignment horizontal="right" shrinkToFit="0" vertical="bottom" wrapText="0"/>
    </xf>
    <xf borderId="0" fillId="2" fontId="7" numFmtId="168" xfId="0" applyAlignment="1" applyFont="1" applyNumberFormat="1">
      <alignment horizontal="right" readingOrder="0" shrinkToFit="0" vertical="bottom" wrapText="0"/>
    </xf>
    <xf borderId="0" fillId="2" fontId="5" numFmtId="164" xfId="0" applyAlignment="1" applyFont="1" applyNumberFormat="1">
      <alignment readingOrder="0" shrinkToFit="0" wrapText="1"/>
    </xf>
    <xf borderId="0" fillId="2" fontId="5" numFmtId="165" xfId="0" applyAlignment="1" applyFont="1" applyNumberFormat="1">
      <alignment readingOrder="0" shrinkToFit="0" wrapText="1"/>
    </xf>
    <xf borderId="0" fillId="2" fontId="5" numFmtId="0" xfId="0" applyAlignment="1" applyFont="1">
      <alignment horizontal="right" readingOrder="0" shrinkToFit="0" wrapText="1"/>
    </xf>
    <xf borderId="0" fillId="2" fontId="5" numFmtId="169" xfId="0" applyAlignment="1" applyFont="1" applyNumberFormat="1">
      <alignment readingOrder="0" shrinkToFit="0" wrapText="1"/>
    </xf>
    <xf borderId="0" fillId="2" fontId="5" numFmtId="169" xfId="0" applyAlignment="1" applyFont="1" applyNumberFormat="1">
      <alignment horizontal="right" readingOrder="0" shrinkToFit="0" wrapText="1"/>
    </xf>
    <xf borderId="0" fillId="2" fontId="7" numFmtId="3" xfId="0" applyAlignment="1" applyFont="1" applyNumberFormat="1">
      <alignment horizontal="right" shrinkToFit="0" vertical="bottom" wrapText="1"/>
    </xf>
    <xf borderId="0" fillId="2" fontId="5" numFmtId="164" xfId="0" applyAlignment="1" applyFont="1" applyNumberFormat="1">
      <alignment horizontal="right" readingOrder="0" shrinkToFit="0" wrapText="1"/>
    </xf>
    <xf borderId="0" fillId="2" fontId="5" numFmtId="170" xfId="0" applyAlignment="1" applyFont="1" applyNumberFormat="1">
      <alignment readingOrder="0" shrinkToFit="0" wrapText="1"/>
    </xf>
    <xf borderId="0" fillId="2" fontId="5" numFmtId="3" xfId="0" applyAlignment="1" applyFont="1" applyNumberFormat="1">
      <alignment shrinkToFit="0" wrapText="1"/>
    </xf>
    <xf borderId="1" fillId="0" fontId="8" numFmtId="0" xfId="0" applyAlignment="1" applyBorder="1" applyFont="1">
      <alignment readingOrder="0" shrinkToFit="0" textRotation="0" wrapText="0"/>
    </xf>
    <xf borderId="1" fillId="0" fontId="4" numFmtId="0" xfId="0" applyAlignment="1" applyBorder="1" applyFont="1">
      <alignment readingOrder="0" shrinkToFit="0" textRotation="0" wrapText="0"/>
    </xf>
    <xf borderId="1" fillId="0" fontId="4" numFmtId="0" xfId="0" applyAlignment="1" applyBorder="1" applyFont="1">
      <alignment shrinkToFit="0" textRotation="0" wrapText="0"/>
    </xf>
    <xf borderId="1" fillId="0" fontId="5" numFmtId="0" xfId="0" applyAlignment="1" applyBorder="1" applyFont="1">
      <alignment textRotation="0"/>
    </xf>
    <xf borderId="1" fillId="0" fontId="5" numFmtId="0" xfId="0" applyAlignment="1" applyBorder="1" applyFont="1">
      <alignment readingOrder="0" textRotation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3" numFmtId="17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5" numFmtId="17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9" xfId="0" applyFont="1" applyNumberFormat="1"/>
    <xf borderId="0" fillId="0" fontId="5" numFmtId="172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71" xfId="0" applyFont="1" applyNumberFormat="1"/>
    <xf borderId="0" fillId="0" fontId="3" numFmtId="3" xfId="0" applyFont="1" applyNumberFormat="1"/>
    <xf borderId="1" fillId="2" fontId="3" numFmtId="0" xfId="0" applyAlignment="1" applyBorder="1" applyFont="1">
      <alignment readingOrder="0"/>
    </xf>
    <xf borderId="1" fillId="2" fontId="3" numFmtId="3" xfId="0" applyAlignment="1" applyBorder="1" applyFont="1" applyNumberFormat="1">
      <alignment readingOrder="0"/>
    </xf>
    <xf borderId="1" fillId="2" fontId="9" numFmtId="0" xfId="0" applyAlignment="1" applyBorder="1" applyFont="1">
      <alignment horizontal="right" readingOrder="0" vertical="bottom"/>
    </xf>
    <xf borderId="0" fillId="2" fontId="3" numFmtId="0" xfId="0" applyFont="1"/>
    <xf borderId="1" fillId="2" fontId="5" numFmtId="0" xfId="0" applyAlignment="1" applyBorder="1" applyFont="1">
      <alignment readingOrder="0"/>
    </xf>
    <xf borderId="1" fillId="2" fontId="5" numFmtId="3" xfId="0" applyAlignment="1" applyBorder="1" applyFont="1" applyNumberFormat="1">
      <alignment readingOrder="0"/>
    </xf>
    <xf borderId="1" fillId="2" fontId="7" numFmtId="164" xfId="0" applyAlignment="1" applyBorder="1" applyFont="1" applyNumberFormat="1">
      <alignment horizontal="right" vertical="bottom"/>
    </xf>
    <xf borderId="1" fillId="2" fontId="7" numFmtId="165" xfId="0" applyAlignment="1" applyBorder="1" applyFont="1" applyNumberFormat="1">
      <alignment horizontal="right" vertical="bottom"/>
    </xf>
    <xf borderId="0" fillId="9" fontId="5" numFmtId="0" xfId="0" applyFill="1" applyFont="1"/>
    <xf borderId="0" fillId="10" fontId="5" numFmtId="0" xfId="0" applyFill="1" applyFont="1"/>
    <xf borderId="1" fillId="2" fontId="7" numFmtId="3" xfId="0" applyAlignment="1" applyBorder="1" applyFont="1" applyNumberFormat="1">
      <alignment horizontal="right" vertical="bottom"/>
    </xf>
    <xf borderId="1" fillId="2" fontId="7" numFmtId="164" xfId="0" applyAlignment="1" applyBorder="1" applyFont="1" applyNumberFormat="1">
      <alignment horizontal="right" readingOrder="0" vertical="bottom"/>
    </xf>
    <xf borderId="1" fillId="2" fontId="7" numFmtId="0" xfId="0" applyAlignment="1" applyBorder="1" applyFont="1">
      <alignment horizontal="right" readingOrder="0" vertical="bottom"/>
    </xf>
    <xf borderId="1" fillId="2" fontId="5" numFmtId="3" xfId="0" applyBorder="1" applyFont="1" applyNumberFormat="1"/>
    <xf borderId="1" fillId="2" fontId="7" numFmtId="0" xfId="0" applyAlignment="1" applyBorder="1" applyFont="1">
      <alignment horizontal="right" vertical="bottom"/>
    </xf>
    <xf borderId="1" fillId="2" fontId="7" numFmtId="165" xfId="0" applyAlignment="1" applyBorder="1" applyFont="1" applyNumberFormat="1">
      <alignment horizontal="right" readingOrder="0" vertical="bottom"/>
    </xf>
    <xf borderId="1" fillId="2" fontId="7" numFmtId="0" xfId="0" applyAlignment="1" applyBorder="1" applyFont="1">
      <alignment vertical="bottom"/>
    </xf>
    <xf borderId="1" fillId="2" fontId="7" numFmtId="3" xfId="0" applyAlignment="1" applyBorder="1" applyFont="1" applyNumberFormat="1">
      <alignment horizontal="right" readingOrder="0" vertical="bottom"/>
    </xf>
    <xf borderId="1" fillId="2" fontId="5" numFmtId="0" xfId="0" applyBorder="1" applyFont="1"/>
    <xf borderId="1" fillId="2" fontId="5" numFmtId="164" xfId="0" applyAlignment="1" applyBorder="1" applyFont="1" applyNumberFormat="1">
      <alignment readingOrder="0"/>
    </xf>
    <xf borderId="0" fillId="9" fontId="5" numFmtId="3" xfId="0" applyAlignment="1" applyFont="1" applyNumberFormat="1">
      <alignment readingOrder="0"/>
    </xf>
    <xf borderId="0" fillId="9" fontId="5" numFmtId="1" xfId="0" applyAlignment="1" applyFont="1" applyNumberFormat="1">
      <alignment readingOrder="0"/>
    </xf>
    <xf borderId="0" fillId="9" fontId="5" numFmtId="165" xfId="0" applyAlignment="1" applyFont="1" applyNumberFormat="1">
      <alignment readingOrder="0"/>
    </xf>
    <xf borderId="0" fillId="9" fontId="5" numFmtId="164" xfId="0" applyAlignment="1" applyFont="1" applyNumberFormat="1">
      <alignment readingOrder="0"/>
    </xf>
    <xf borderId="0" fillId="9" fontId="5" numFmtId="0" xfId="0" applyAlignment="1" applyFont="1">
      <alignment readingOrder="0"/>
    </xf>
    <xf borderId="1" fillId="2" fontId="2" numFmtId="0" xfId="0" applyAlignment="1" applyBorder="1" applyFont="1">
      <alignment horizontal="right" vertical="bottom"/>
    </xf>
    <xf borderId="1" fillId="2" fontId="4" numFmtId="3" xfId="0" applyAlignment="1" applyBorder="1" applyFont="1" applyNumberFormat="1">
      <alignment readingOrder="0" shrinkToFit="0" vertical="bottom" wrapText="0"/>
    </xf>
    <xf borderId="1" fillId="2" fontId="10" numFmtId="164" xfId="0" applyAlignment="1" applyBorder="1" applyFont="1" applyNumberFormat="1">
      <alignment horizontal="right" vertical="bottom"/>
    </xf>
    <xf borderId="1" fillId="2" fontId="10" numFmtId="165" xfId="0" applyAlignment="1" applyBorder="1" applyFont="1" applyNumberFormat="1">
      <alignment horizontal="right" vertical="bottom"/>
    </xf>
    <xf borderId="0" fillId="2" fontId="5" numFmtId="173" xfId="0" applyAlignment="1" applyFont="1" applyNumberFormat="1">
      <alignment readingOrder="0"/>
    </xf>
    <xf borderId="1" fillId="2" fontId="7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0" fillId="2" fontId="9" numFmtId="0" xfId="0" applyAlignment="1" applyFont="1">
      <alignment readingOrder="0" vertical="bottom"/>
    </xf>
    <xf borderId="0" fillId="2" fontId="9" numFmtId="0" xfId="0" applyAlignment="1" applyFont="1">
      <alignment horizontal="right" readingOrder="0" vertical="bottom"/>
    </xf>
    <xf borderId="0" fillId="2" fontId="9" numFmtId="3" xfId="0" applyAlignment="1" applyFont="1" applyNumberFormat="1">
      <alignment readingOrder="0" vertical="bottom"/>
    </xf>
    <xf borderId="0" fillId="2" fontId="9" numFmtId="3" xfId="0" applyAlignment="1" applyFont="1" applyNumberFormat="1">
      <alignment horizontal="right" readingOrder="0" vertical="bottom"/>
    </xf>
    <xf borderId="0" fillId="2" fontId="3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2" fontId="5" numFmtId="167" xfId="0" applyAlignment="1" applyFont="1" applyNumberFormat="1">
      <alignment horizontal="right" readingOrder="0" shrinkToFit="0" wrapText="1"/>
    </xf>
    <xf borderId="0" fillId="2" fontId="5" numFmtId="0" xfId="0" applyAlignment="1" applyFont="1">
      <alignment horizontal="center"/>
    </xf>
    <xf borderId="0" fillId="0" fontId="5" numFmtId="0" xfId="0" applyFont="1"/>
    <xf borderId="0" fillId="0" fontId="5" numFmtId="165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2" fontId="5" numFmtId="0" xfId="0" applyFont="1"/>
    <xf borderId="0" fillId="2" fontId="5" numFmtId="3" xfId="0" applyFont="1" applyNumberFormat="1"/>
    <xf borderId="0" fillId="2" fontId="5" numFmtId="0" xfId="0" applyAlignment="1" applyFont="1">
      <alignment horizontal="right" readingOrder="0"/>
    </xf>
    <xf borderId="0" fillId="2" fontId="11" numFmtId="164" xfId="0" applyAlignment="1" applyFont="1" applyNumberFormat="1">
      <alignment horizontal="right" readingOrder="0"/>
    </xf>
    <xf borderId="0" fillId="2" fontId="5" numFmtId="164" xfId="0" applyAlignment="1" applyFont="1" applyNumberFormat="1">
      <alignment horizontal="right" readingOrder="0"/>
    </xf>
    <xf borderId="0" fillId="2" fontId="5" numFmtId="0" xfId="0" applyAlignment="1" applyFont="1">
      <alignment horizontal="center" readingOrder="0"/>
    </xf>
    <xf borderId="0" fillId="2" fontId="7" numFmtId="165" xfId="0" applyAlignment="1" applyFont="1" applyNumberFormat="1">
      <alignment horizontal="right" vertical="bottom"/>
    </xf>
    <xf borderId="0" fillId="2" fontId="4" numFmtId="3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/>
    </xf>
    <xf borderId="0" fillId="0" fontId="5" numFmtId="165" xfId="0" applyAlignment="1" applyFont="1" applyNumberFormat="1">
      <alignment horizontal="right"/>
    </xf>
    <xf borderId="0" fillId="0" fontId="5" numFmtId="169" xfId="0" applyAlignment="1" applyFont="1" applyNumberFormat="1">
      <alignment horizontal="right" readingOrder="0"/>
    </xf>
    <xf borderId="0" fillId="0" fontId="5" numFmtId="0" xfId="0" applyAlignment="1" applyFont="1">
      <alignment horizontal="center"/>
    </xf>
    <xf borderId="0" fillId="2" fontId="2" numFmtId="1" xfId="0" applyAlignment="1" applyFont="1" applyNumberFormat="1">
      <alignment horizontal="right" shrinkToFit="0" vertical="bottom" wrapText="0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right" shrinkToFit="0" vertical="bottom" wrapText="1"/>
    </xf>
    <xf borderId="0" fillId="2" fontId="5" numFmtId="0" xfId="0" applyAlignment="1" applyFont="1">
      <alignment readingOrder="0"/>
    </xf>
    <xf borderId="0" fillId="2" fontId="5" numFmtId="166" xfId="0" applyAlignment="1" applyFont="1" applyNumberFormat="1">
      <alignment horizontal="right" readingOrder="0"/>
    </xf>
    <xf borderId="0" fillId="2" fontId="5" numFmtId="0" xfId="0" applyAlignment="1" applyFont="1">
      <alignment horizontal="right" readingOrder="0"/>
    </xf>
    <xf borderId="0" fillId="2" fontId="7" numFmtId="0" xfId="0" applyAlignment="1" applyFont="1">
      <alignment horizontal="right" shrinkToFit="0" vertical="bottom" wrapText="0"/>
    </xf>
    <xf borderId="0" fillId="2" fontId="7" numFmtId="168" xfId="0" applyAlignment="1" applyFont="1" applyNumberFormat="1">
      <alignment horizontal="right" readingOrder="0" vertical="bottom"/>
    </xf>
    <xf borderId="0" fillId="2" fontId="5" numFmtId="165" xfId="0" applyAlignment="1" applyFont="1" applyNumberFormat="1">
      <alignment horizontal="right" readingOrder="0" shrinkToFit="0" wrapText="1"/>
    </xf>
    <xf borderId="0" fillId="2" fontId="5" numFmtId="170" xfId="0" applyAlignment="1" applyFont="1" applyNumberFormat="1">
      <alignment horizontal="right" readingOrder="0"/>
    </xf>
    <xf borderId="0" fillId="3" fontId="7" numFmtId="3" xfId="0" applyAlignment="1" applyFont="1" applyNumberFormat="1">
      <alignment horizontal="right" readingOrder="0" vertical="bottom"/>
    </xf>
    <xf borderId="0" fillId="3" fontId="7" numFmtId="3" xfId="0" applyAlignment="1" applyFont="1" applyNumberFormat="1">
      <alignment horizontal="right" readingOrder="0" shrinkToFit="0" vertical="bottom" wrapText="0"/>
    </xf>
    <xf borderId="0" fillId="2" fontId="5" numFmtId="4" xfId="0" applyAlignment="1" applyFont="1" applyNumberFormat="1">
      <alignment readingOrder="0"/>
    </xf>
    <xf borderId="0" fillId="2" fontId="5" numFmtId="4" xfId="0" applyFont="1" applyNumberFormat="1"/>
    <xf borderId="0" fillId="2" fontId="5" numFmtId="0" xfId="0" applyAlignment="1" applyFont="1">
      <alignment horizontal="right" shrinkToFit="0" wrapText="1"/>
    </xf>
    <xf borderId="0" fillId="2" fontId="5" numFmtId="174" xfId="0" applyAlignment="1" applyFont="1" applyNumberFormat="1">
      <alignment horizontal="right" readingOrder="0"/>
    </xf>
    <xf borderId="0" fillId="2" fontId="5" numFmtId="0" xfId="0" applyAlignment="1" applyFont="1">
      <alignment horizontal="right"/>
    </xf>
    <xf borderId="1" fillId="0" fontId="3" numFmtId="0" xfId="0" applyAlignment="1" applyBorder="1" applyFont="1">
      <alignment readingOrder="0"/>
    </xf>
    <xf borderId="1" fillId="2" fontId="7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right" shrinkToFit="0" vertical="bottom" wrapText="0"/>
    </xf>
    <xf borderId="1" fillId="2" fontId="2" numFmtId="1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horizontal="right" shrinkToFit="0" vertical="bottom" wrapText="1"/>
    </xf>
    <xf borderId="1" fillId="0" fontId="5" numFmtId="3" xfId="0" applyBorder="1" applyFont="1" applyNumberFormat="1"/>
    <xf borderId="1" fillId="2" fontId="2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shrinkToFit="0" wrapText="1"/>
    </xf>
    <xf borderId="1" fillId="2" fontId="7" numFmtId="3" xfId="0" applyAlignment="1" applyBorder="1" applyFont="1" applyNumberFormat="1">
      <alignment horizontal="right" readingOrder="0" shrinkToFit="0" vertical="bottom" wrapText="0"/>
    </xf>
    <xf borderId="1" fillId="3" fontId="12" numFmtId="0" xfId="0" applyAlignment="1" applyBorder="1" applyFont="1">
      <alignment readingOrder="0" vertical="bottom"/>
    </xf>
    <xf borderId="1" fillId="3" fontId="13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11" fontId="4" numFmtId="0" xfId="0" applyAlignment="1" applyBorder="1" applyFill="1" applyFont="1">
      <alignment vertical="bottom"/>
    </xf>
    <xf borderId="1" fillId="11" fontId="4" numFmtId="0" xfId="0" applyAlignment="1" applyBorder="1" applyFont="1">
      <alignment horizontal="right" vertical="bottom"/>
    </xf>
    <xf borderId="1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readingOrder="0" vertical="bottom"/>
    </xf>
    <xf borderId="1" fillId="3" fontId="16" numFmtId="0" xfId="0" applyAlignment="1" applyBorder="1" applyFont="1">
      <alignment horizontal="right" readingOrder="0" vertical="bottom"/>
    </xf>
    <xf borderId="1" fillId="11" fontId="16" numFmtId="0" xfId="0" applyAlignment="1" applyBorder="1" applyFont="1">
      <alignment vertical="bottom"/>
    </xf>
    <xf borderId="1" fillId="11" fontId="16" numFmtId="0" xfId="0" applyAlignment="1" applyBorder="1" applyFont="1">
      <alignment horizontal="right" vertical="bottom"/>
    </xf>
    <xf borderId="1" fillId="12" fontId="16" numFmtId="0" xfId="0" applyAlignment="1" applyBorder="1" applyFill="1" applyFont="1">
      <alignment vertical="bottom"/>
    </xf>
    <xf borderId="1" fillId="12" fontId="16" numFmtId="0" xfId="0" applyAlignment="1" applyBorder="1" applyFont="1">
      <alignment horizontal="right" vertical="bottom"/>
    </xf>
    <xf borderId="1" fillId="12" fontId="4" numFmtId="0" xfId="0" applyAlignment="1" applyBorder="1" applyFont="1">
      <alignment vertical="bottom"/>
    </xf>
    <xf borderId="1" fillId="12" fontId="4" numFmtId="0" xfId="0" applyAlignment="1" applyBorder="1" applyFont="1">
      <alignment horizontal="right" vertical="bottom"/>
    </xf>
    <xf borderId="1" fillId="3" fontId="4" numFmtId="3" xfId="0" applyAlignment="1" applyBorder="1" applyFont="1" applyNumberFormat="1">
      <alignment horizontal="right" readingOrder="0" vertical="bottom"/>
    </xf>
    <xf borderId="1" fillId="3" fontId="16" numFmtId="3" xfId="0" applyAlignment="1" applyBorder="1" applyFont="1" applyNumberFormat="1">
      <alignment horizontal="right" readingOrder="0" vertical="bottom"/>
    </xf>
    <xf borderId="1" fillId="11" fontId="4" numFmtId="0" xfId="0" applyAlignment="1" applyBorder="1" applyFont="1">
      <alignment readingOrder="0" vertical="bottom"/>
    </xf>
    <xf borderId="1" fillId="11" fontId="4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vertical="bottom"/>
    </xf>
    <xf borderId="1" fillId="2" fontId="5" numFmtId="4" xfId="0" applyAlignment="1" applyBorder="1" applyFont="1" applyNumberFormat="1">
      <alignment readingOrder="0"/>
    </xf>
    <xf borderId="1" fillId="2" fontId="5" numFmtId="0" xfId="0" applyAlignment="1" applyBorder="1" applyFont="1">
      <alignment horizontal="right" readingOrder="0"/>
    </xf>
    <xf borderId="1" fillId="2" fontId="11" numFmtId="164" xfId="0" applyAlignment="1" applyBorder="1" applyFont="1" applyNumberFormat="1">
      <alignment readingOrder="0"/>
    </xf>
    <xf borderId="1" fillId="2" fontId="4" numFmtId="0" xfId="0" applyAlignment="1" applyBorder="1" applyFont="1">
      <alignment horizontal="right" readingOrder="0" shrinkToFit="0" vertical="bottom" wrapText="0"/>
    </xf>
    <xf borderId="1" fillId="2" fontId="4" numFmtId="3" xfId="0" applyAlignment="1" applyBorder="1" applyFont="1" applyNumberFormat="1">
      <alignment horizontal="right" readingOrder="0" shrinkToFit="0" vertical="bottom" wrapText="0"/>
    </xf>
    <xf borderId="1" fillId="2" fontId="5" numFmtId="0" xfId="0" applyAlignment="1" applyBorder="1" applyFont="1">
      <alignment readingOrder="0"/>
    </xf>
    <xf borderId="1" fillId="2" fontId="5" numFmtId="166" xfId="0" applyAlignment="1" applyBorder="1" applyFont="1" applyNumberFormat="1">
      <alignment readingOrder="0"/>
    </xf>
    <xf borderId="1" fillId="0" fontId="5" numFmtId="3" xfId="0" applyAlignment="1" applyBorder="1" applyFont="1" applyNumberFormat="1">
      <alignment readingOrder="0"/>
    </xf>
    <xf borderId="1" fillId="2" fontId="7" numFmtId="168" xfId="0" applyAlignment="1" applyBorder="1" applyFont="1" applyNumberFormat="1">
      <alignment horizontal="right" readingOrder="0" vertical="bottom"/>
    </xf>
    <xf borderId="1" fillId="2" fontId="7" numFmtId="0" xfId="0" applyAlignment="1" applyBorder="1" applyFont="1">
      <alignment readingOrder="0" shrinkToFit="0" vertical="bottom" wrapText="0"/>
    </xf>
    <xf borderId="1" fillId="2" fontId="7" numFmtId="164" xfId="0" applyAlignment="1" applyBorder="1" applyFont="1" applyNumberFormat="1">
      <alignment horizontal="right" readingOrder="0" shrinkToFit="0" vertical="bottom" wrapText="0"/>
    </xf>
    <xf borderId="1" fillId="2" fontId="7" numFmtId="0" xfId="0" applyAlignment="1" applyBorder="1" applyFont="1">
      <alignment horizontal="right" readingOrder="0" shrinkToFit="0" vertical="bottom" wrapText="0"/>
    </xf>
    <xf borderId="1" fillId="2" fontId="5" numFmtId="164" xfId="0" applyAlignment="1" applyBorder="1" applyFont="1" applyNumberFormat="1">
      <alignment readingOrder="0" shrinkToFit="0" wrapText="1"/>
    </xf>
    <xf borderId="1" fillId="2" fontId="5" numFmtId="167" xfId="0" applyAlignment="1" applyBorder="1" applyFont="1" applyNumberFormat="1">
      <alignment readingOrder="0" shrinkToFit="0" wrapText="1"/>
    </xf>
    <xf borderId="1" fillId="2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1"/>
    </xf>
    <xf borderId="1" fillId="2" fontId="7" numFmtId="165" xfId="0" applyAlignment="1" applyBorder="1" applyFont="1" applyNumberFormat="1">
      <alignment horizontal="right" readingOrder="0" shrinkToFit="0" vertical="bottom" wrapText="0"/>
    </xf>
    <xf borderId="1" fillId="2" fontId="5" numFmtId="3" xfId="0" applyAlignment="1" applyBorder="1" applyFont="1" applyNumberFormat="1">
      <alignment readingOrder="0" shrinkToFit="0" wrapText="1"/>
    </xf>
    <xf borderId="1" fillId="3" fontId="7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horizontal="right" shrinkToFit="0" vertical="bottom" wrapText="0"/>
    </xf>
    <xf borderId="1" fillId="3" fontId="7" numFmtId="3" xfId="0" applyAlignment="1" applyBorder="1" applyFont="1" applyNumberFormat="1">
      <alignment horizontal="right" shrinkToFit="0" vertical="bottom" wrapText="0"/>
    </xf>
    <xf borderId="1" fillId="3" fontId="2" numFmtId="3" xfId="0" applyAlignment="1" applyBorder="1" applyFont="1" applyNumberFormat="1">
      <alignment horizontal="right" vertical="bottom"/>
    </xf>
    <xf borderId="1" fillId="3" fontId="7" numFmtId="165" xfId="0" applyAlignment="1" applyBorder="1" applyFont="1" applyNumberFormat="1">
      <alignment horizontal="right" shrinkToFit="0" vertical="bottom" wrapText="0"/>
    </xf>
    <xf borderId="1" fillId="3" fontId="7" numFmtId="164" xfId="0" applyAlignment="1" applyBorder="1" applyFont="1" applyNumberFormat="1">
      <alignment horizontal="right" shrinkToFit="0" vertical="bottom" wrapText="0"/>
    </xf>
    <xf borderId="1" fillId="3" fontId="7" numFmtId="165" xfId="0" applyAlignment="1" applyBorder="1" applyFont="1" applyNumberFormat="1">
      <alignment horizontal="right" readingOrder="0" shrinkToFit="0" vertical="bottom" wrapText="0"/>
    </xf>
    <xf borderId="3" fillId="3" fontId="7" numFmtId="164" xfId="0" applyAlignment="1" applyBorder="1" applyFont="1" applyNumberFormat="1">
      <alignment horizontal="right" readingOrder="0" shrinkToFit="0" vertical="bottom" wrapText="0"/>
    </xf>
    <xf borderId="3" fillId="3" fontId="7" numFmtId="164" xfId="0" applyAlignment="1" applyBorder="1" applyFont="1" applyNumberFormat="1">
      <alignment horizontal="right" shrinkToFit="0" vertical="bottom" wrapText="0"/>
    </xf>
    <xf borderId="0" fillId="0" fontId="5" numFmtId="4" xfId="0" applyFont="1" applyNumberFormat="1"/>
    <xf borderId="0" fillId="13" fontId="5" numFmtId="0" xfId="0" applyAlignment="1" applyFill="1" applyFont="1">
      <alignment readingOrder="0"/>
    </xf>
    <xf borderId="0" fillId="13" fontId="4" numFmtId="3" xfId="0" applyAlignment="1" applyFont="1" applyNumberFormat="1">
      <alignment readingOrder="0" shrinkToFit="0" vertical="bottom" wrapText="0"/>
    </xf>
    <xf borderId="0" fillId="14" fontId="4" numFmtId="3" xfId="0" applyAlignment="1" applyFill="1" applyFont="1" applyNumberFormat="1">
      <alignment readingOrder="0" shrinkToFit="0" vertical="bottom" wrapText="0"/>
    </xf>
    <xf borderId="0" fillId="4" fontId="4" numFmtId="3" xfId="0" applyAlignment="1" applyFont="1" applyNumberFormat="1">
      <alignment readingOrder="0" shrinkToFit="0" vertical="bottom" wrapText="0"/>
    </xf>
    <xf borderId="0" fillId="4" fontId="5" numFmtId="1" xfId="0" applyFont="1" applyNumberFormat="1"/>
    <xf borderId="0" fillId="13" fontId="5" numFmtId="0" xfId="0" applyFont="1"/>
    <xf borderId="0" fillId="13" fontId="3" numFmtId="0" xfId="0" applyAlignment="1" applyFont="1">
      <alignment readingOrder="0"/>
    </xf>
    <xf borderId="0" fillId="4" fontId="4" numFmtId="1" xfId="0" applyAlignment="1" applyFont="1" applyNumberFormat="1">
      <alignment horizontal="right" readingOrder="0" shrinkToFit="0" vertical="bottom" wrapText="0"/>
    </xf>
    <xf borderId="0" fillId="10" fontId="4" numFmtId="165" xfId="0" applyAlignment="1" applyFont="1" applyNumberFormat="1">
      <alignment horizontal="right" readingOrder="0" shrinkToFit="0" vertical="bottom" wrapText="0"/>
    </xf>
    <xf borderId="0" fillId="10" fontId="4" numFmtId="164" xfId="0" applyAlignment="1" applyFont="1" applyNumberFormat="1">
      <alignment horizontal="right" readingOrder="0" shrinkToFit="0" vertical="bottom" wrapText="0"/>
    </xf>
    <xf borderId="0" fillId="10" fontId="4" numFmtId="0" xfId="0" applyAlignment="1" applyFont="1">
      <alignment readingOrder="0" shrinkToFit="0" vertical="bottom" wrapText="0"/>
    </xf>
    <xf borderId="0" fillId="10" fontId="4" numFmtId="0" xfId="0" applyAlignment="1" applyFont="1">
      <alignment shrinkToFit="0" vertical="bottom" wrapText="0"/>
    </xf>
    <xf borderId="0" fillId="0" fontId="17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EXPECTED PAYMENT and COLLECTION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Sheet22!$B$1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Sheet22!$A$2:$A$36</c:f>
            </c:strRef>
          </c:cat>
          <c:val>
            <c:numRef>
              <c:f>Sheet22!$B$2:$B$36</c:f>
              <c:numCache/>
            </c:numRef>
          </c:val>
        </c:ser>
        <c:ser>
          <c:idx val="1"/>
          <c:order val="1"/>
          <c:tx>
            <c:strRef>
              <c:f>Sheet22!$C$1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Sheet22!$A$2:$A$36</c:f>
            </c:strRef>
          </c:cat>
          <c:val>
            <c:numRef>
              <c:f>Sheet22!$C$2:$C$36</c:f>
              <c:numCache/>
            </c:numRef>
          </c:val>
        </c:ser>
        <c:axId val="961694711"/>
        <c:axId val="1692611134"/>
      </c:barChart>
      <c:catAx>
        <c:axId val="961694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611134"/>
      </c:catAx>
      <c:valAx>
        <c:axId val="1692611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694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TENANTS and TENANTS PAID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Sheet22!$D$1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Sheet22!$A$2:$A$36</c:f>
            </c:strRef>
          </c:cat>
          <c:val>
            <c:numRef>
              <c:f>Sheet22!$D$2:$D$43</c:f>
              <c:numCache/>
            </c:numRef>
          </c:val>
        </c:ser>
        <c:axId val="658554070"/>
        <c:axId val="1152589347"/>
      </c:barChart>
      <c:lineChart>
        <c:varyColors val="0"/>
        <c:ser>
          <c:idx val="1"/>
          <c:order val="1"/>
          <c:tx>
            <c:strRef>
              <c:f>Sheet22!$E$1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Sheet22!$A$2:$A$36</c:f>
            </c:strRef>
          </c:cat>
          <c:val>
            <c:numRef>
              <c:f>Sheet22!$E$2:$E$43</c:f>
              <c:numCache/>
            </c:numRef>
          </c:val>
          <c:smooth val="0"/>
        </c:ser>
        <c:axId val="658554070"/>
        <c:axId val="1152589347"/>
      </c:lineChart>
      <c:catAx>
        <c:axId val="658554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589347"/>
      </c:catAx>
      <c:valAx>
        <c:axId val="1152589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554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22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409575</xdr:colOff>
      <xdr:row>69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2.25"/>
    <col customWidth="1" min="3" max="3" width="17.38"/>
  </cols>
  <sheetData>
    <row r="1">
      <c r="A1" s="1" t="s">
        <v>0</v>
      </c>
      <c r="B1" s="2" t="s">
        <v>1</v>
      </c>
      <c r="C1" s="3"/>
      <c r="D1" s="1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5" t="s">
        <v>3</v>
      </c>
      <c r="B2" s="6">
        <v>7.42094463E8</v>
      </c>
      <c r="C2" s="7" t="s">
        <v>4</v>
      </c>
      <c r="D2" s="7">
        <v>7.53875749E8</v>
      </c>
      <c r="E2" s="7" t="s">
        <v>5</v>
      </c>
    </row>
    <row r="3">
      <c r="A3" s="5" t="s">
        <v>6</v>
      </c>
      <c r="B3" s="8">
        <v>7.06592528E8</v>
      </c>
      <c r="C3" s="7" t="s">
        <v>7</v>
      </c>
      <c r="D3" s="7">
        <v>7.0864294E8</v>
      </c>
      <c r="E3" s="7" t="s">
        <v>8</v>
      </c>
    </row>
    <row r="4">
      <c r="A4" s="5" t="s">
        <v>9</v>
      </c>
      <c r="B4" s="6">
        <v>7.55384326E8</v>
      </c>
      <c r="C4" s="7" t="s">
        <v>10</v>
      </c>
      <c r="D4" s="7">
        <v>7.47221252E8</v>
      </c>
      <c r="E4" s="7" t="s">
        <v>11</v>
      </c>
    </row>
    <row r="5">
      <c r="A5" s="5" t="s">
        <v>12</v>
      </c>
      <c r="B5" s="6">
        <v>7.61849518E8</v>
      </c>
      <c r="C5" s="7" t="s">
        <v>13</v>
      </c>
      <c r="D5" s="7">
        <v>7.05380177E8</v>
      </c>
      <c r="E5" s="7" t="s">
        <v>11</v>
      </c>
    </row>
    <row r="6">
      <c r="A6" s="5" t="s">
        <v>14</v>
      </c>
      <c r="B6" s="5">
        <v>7.57437046E8</v>
      </c>
      <c r="C6" s="7" t="s">
        <v>15</v>
      </c>
      <c r="D6" s="9">
        <v>7.01889945E8</v>
      </c>
      <c r="E6" s="7" t="s">
        <v>16</v>
      </c>
    </row>
    <row r="7">
      <c r="A7" s="5" t="s">
        <v>17</v>
      </c>
      <c r="B7" s="10">
        <v>7.42884112E8</v>
      </c>
      <c r="C7" s="7" t="s">
        <v>7</v>
      </c>
      <c r="D7" s="9">
        <v>7.0864294E8</v>
      </c>
      <c r="E7" s="7" t="s">
        <v>16</v>
      </c>
    </row>
    <row r="8">
      <c r="A8" s="5" t="s">
        <v>18</v>
      </c>
      <c r="B8" s="10">
        <v>7.43819713E8</v>
      </c>
      <c r="C8" s="7" t="s">
        <v>19</v>
      </c>
      <c r="D8" s="7">
        <v>7.82354628E8</v>
      </c>
      <c r="E8" s="7" t="s">
        <v>20</v>
      </c>
    </row>
    <row r="9">
      <c r="A9" s="5" t="s">
        <v>21</v>
      </c>
      <c r="B9" s="10">
        <v>7.53317368E8</v>
      </c>
      <c r="C9" s="7" t="s">
        <v>22</v>
      </c>
      <c r="D9" s="7">
        <v>7.52443668E8</v>
      </c>
      <c r="E9" s="7" t="s">
        <v>23</v>
      </c>
    </row>
    <row r="10">
      <c r="A10" s="5" t="s">
        <v>24</v>
      </c>
      <c r="B10" s="10">
        <v>7.52227363E8</v>
      </c>
      <c r="C10" s="7" t="s">
        <v>25</v>
      </c>
      <c r="D10" s="7">
        <v>7.72486073E8</v>
      </c>
      <c r="E10" s="7" t="s">
        <v>26</v>
      </c>
    </row>
    <row r="11">
      <c r="A11" s="5" t="s">
        <v>27</v>
      </c>
      <c r="B11" s="10">
        <v>7.59648561E8</v>
      </c>
      <c r="C11" s="7" t="s">
        <v>28</v>
      </c>
      <c r="D11" s="7">
        <v>7.43375669E8</v>
      </c>
      <c r="E11" s="7" t="s">
        <v>26</v>
      </c>
    </row>
    <row r="12">
      <c r="A12" s="5" t="s">
        <v>29</v>
      </c>
      <c r="B12" s="10">
        <v>7.5613769E8</v>
      </c>
      <c r="C12" s="7" t="s">
        <v>30</v>
      </c>
      <c r="D12" s="7">
        <v>7.45135321E8</v>
      </c>
      <c r="E12" s="7" t="s">
        <v>26</v>
      </c>
    </row>
    <row r="13">
      <c r="A13" s="5" t="s">
        <v>31</v>
      </c>
      <c r="B13" s="10">
        <v>7.47014156E8</v>
      </c>
      <c r="C13" s="7" t="s">
        <v>32</v>
      </c>
      <c r="D13" s="7">
        <v>7.09105519E8</v>
      </c>
      <c r="E13" s="7" t="s">
        <v>26</v>
      </c>
    </row>
    <row r="14">
      <c r="A14" s="5" t="s">
        <v>33</v>
      </c>
      <c r="B14" s="10">
        <v>7.01234524E8</v>
      </c>
      <c r="C14" s="7" t="s">
        <v>34</v>
      </c>
      <c r="D14" s="7">
        <v>7.70527306E8</v>
      </c>
      <c r="E14" s="7" t="s">
        <v>26</v>
      </c>
    </row>
    <row r="15">
      <c r="A15" s="5" t="s">
        <v>35</v>
      </c>
      <c r="B15" s="10">
        <v>7.0087706E8</v>
      </c>
      <c r="C15" s="7" t="s">
        <v>36</v>
      </c>
      <c r="D15" s="7">
        <v>7.55406768E8</v>
      </c>
      <c r="E15" s="7" t="s">
        <v>26</v>
      </c>
    </row>
    <row r="16">
      <c r="A16" s="5" t="s">
        <v>37</v>
      </c>
      <c r="B16" s="10">
        <v>7.02606966E8</v>
      </c>
      <c r="C16" s="7" t="s">
        <v>38</v>
      </c>
      <c r="D16" s="7">
        <v>7.62518508E8</v>
      </c>
      <c r="E16" s="7" t="s">
        <v>26</v>
      </c>
    </row>
    <row r="17">
      <c r="A17" s="5" t="s">
        <v>39</v>
      </c>
      <c r="B17" s="10">
        <v>7.54197205E8</v>
      </c>
      <c r="C17" s="7" t="s">
        <v>40</v>
      </c>
      <c r="D17" s="7">
        <v>7.72486073E8</v>
      </c>
      <c r="E17" s="7" t="s">
        <v>26</v>
      </c>
    </row>
    <row r="18">
      <c r="A18" s="5" t="s">
        <v>41</v>
      </c>
      <c r="B18" s="10">
        <v>7.40841609E8</v>
      </c>
      <c r="C18" s="7" t="s">
        <v>42</v>
      </c>
      <c r="D18" s="7">
        <v>7.52660257E8</v>
      </c>
      <c r="E18" s="7" t="s">
        <v>26</v>
      </c>
    </row>
    <row r="19">
      <c r="A19" s="5" t="s">
        <v>43</v>
      </c>
      <c r="B19" s="10">
        <v>7.02046578E8</v>
      </c>
      <c r="C19" s="7" t="s">
        <v>44</v>
      </c>
      <c r="D19" s="7">
        <v>7.0195921E8</v>
      </c>
      <c r="E19" s="7" t="s">
        <v>45</v>
      </c>
    </row>
    <row r="20">
      <c r="A20" s="5" t="s">
        <v>46</v>
      </c>
      <c r="B20" s="10">
        <v>7.06257607E8</v>
      </c>
      <c r="C20" s="7" t="s">
        <v>47</v>
      </c>
      <c r="D20" s="7">
        <v>7.73084995E8</v>
      </c>
      <c r="E20" s="7" t="s">
        <v>45</v>
      </c>
    </row>
    <row r="21">
      <c r="A21" s="5" t="s">
        <v>48</v>
      </c>
      <c r="B21" s="10">
        <v>7.8703763E8</v>
      </c>
      <c r="C21" s="7" t="s">
        <v>49</v>
      </c>
      <c r="D21" s="7">
        <v>7.74033851E8</v>
      </c>
      <c r="E21" s="7" t="s">
        <v>45</v>
      </c>
    </row>
    <row r="22">
      <c r="A22" s="5" t="s">
        <v>50</v>
      </c>
      <c r="B22" s="10">
        <v>7.08019355E8</v>
      </c>
      <c r="C22" s="7" t="s">
        <v>51</v>
      </c>
      <c r="D22" s="7">
        <v>7.05392134E8</v>
      </c>
      <c r="E22" s="7" t="s">
        <v>45</v>
      </c>
    </row>
    <row r="23">
      <c r="A23" s="5" t="s">
        <v>52</v>
      </c>
      <c r="B23" s="10">
        <v>7.44103043E8</v>
      </c>
      <c r="C23" s="7" t="s">
        <v>53</v>
      </c>
      <c r="D23" s="7">
        <v>7.00196471E8</v>
      </c>
      <c r="E23" s="7" t="s">
        <v>54</v>
      </c>
    </row>
    <row r="24">
      <c r="A24" s="5" t="s">
        <v>55</v>
      </c>
      <c r="B24" s="10">
        <v>7.09819237E8</v>
      </c>
      <c r="C24" s="7" t="s">
        <v>56</v>
      </c>
      <c r="D24" s="7">
        <v>7.08215368E8</v>
      </c>
      <c r="E24" s="7" t="s">
        <v>57</v>
      </c>
    </row>
    <row r="25">
      <c r="A25" s="5" t="s">
        <v>58</v>
      </c>
      <c r="B25" s="10">
        <v>7.69156574E8</v>
      </c>
      <c r="C25" s="7" t="s">
        <v>59</v>
      </c>
      <c r="D25" s="7">
        <v>7.01856117E8</v>
      </c>
      <c r="E25" s="7" t="s">
        <v>60</v>
      </c>
    </row>
    <row r="26">
      <c r="A26" s="5" t="s">
        <v>61</v>
      </c>
      <c r="B26" s="10">
        <v>7.02273378E8</v>
      </c>
      <c r="C26" s="7" t="s">
        <v>59</v>
      </c>
      <c r="D26" s="7">
        <v>7.01856117E8</v>
      </c>
      <c r="E26" s="7" t="s">
        <v>60</v>
      </c>
    </row>
    <row r="27">
      <c r="A27" s="5" t="s">
        <v>62</v>
      </c>
      <c r="B27" s="10">
        <v>7.69037562E8</v>
      </c>
      <c r="C27" s="7" t="s">
        <v>63</v>
      </c>
      <c r="D27" s="7">
        <v>7.05027272E8</v>
      </c>
      <c r="E27" s="7" t="s">
        <v>64</v>
      </c>
    </row>
    <row r="28">
      <c r="A28" s="5" t="s">
        <v>65</v>
      </c>
      <c r="B28" s="10" t="s">
        <v>66</v>
      </c>
      <c r="C28" s="7" t="s">
        <v>67</v>
      </c>
      <c r="D28" s="7">
        <v>7.65866525E8</v>
      </c>
      <c r="E28" s="7" t="s">
        <v>68</v>
      </c>
    </row>
    <row r="29">
      <c r="A29" s="5" t="s">
        <v>69</v>
      </c>
      <c r="B29" s="10">
        <v>7.04815621E8</v>
      </c>
      <c r="C29" s="7" t="s">
        <v>70</v>
      </c>
      <c r="D29" s="7">
        <v>7.51394121E8</v>
      </c>
      <c r="E29" s="7" t="s">
        <v>71</v>
      </c>
    </row>
    <row r="30">
      <c r="A30" s="5" t="s">
        <v>72</v>
      </c>
      <c r="B30" s="10">
        <v>7.02785238E8</v>
      </c>
      <c r="C30" s="7" t="s">
        <v>73</v>
      </c>
      <c r="D30" s="7">
        <v>7.06529191E8</v>
      </c>
      <c r="E30" s="7" t="s">
        <v>71</v>
      </c>
    </row>
    <row r="31">
      <c r="A31" s="5" t="s">
        <v>74</v>
      </c>
      <c r="B31" s="10">
        <v>7.59839432E8</v>
      </c>
      <c r="C31" s="7" t="s">
        <v>75</v>
      </c>
      <c r="D31" s="7">
        <v>7.53001143E8</v>
      </c>
      <c r="E31" s="7" t="s">
        <v>5</v>
      </c>
    </row>
    <row r="32">
      <c r="A32" s="5" t="s">
        <v>76</v>
      </c>
      <c r="B32" s="10">
        <v>7.41904737E8</v>
      </c>
      <c r="C32" s="7" t="s">
        <v>77</v>
      </c>
      <c r="D32" s="7">
        <v>7.51612906E8</v>
      </c>
      <c r="E32" s="7" t="s">
        <v>5</v>
      </c>
    </row>
    <row r="33">
      <c r="A33" s="5" t="s">
        <v>78</v>
      </c>
      <c r="B33" s="10" t="s">
        <v>79</v>
      </c>
      <c r="C33" s="7" t="s">
        <v>80</v>
      </c>
      <c r="D33" s="7">
        <v>7.58257049E8</v>
      </c>
      <c r="E33" s="7" t="s">
        <v>5</v>
      </c>
    </row>
    <row r="34">
      <c r="A34" s="5" t="s">
        <v>81</v>
      </c>
      <c r="B34" s="10">
        <v>7.08206856E8</v>
      </c>
      <c r="C34" s="7" t="s">
        <v>82</v>
      </c>
      <c r="D34" s="7">
        <v>7.00305227E8</v>
      </c>
      <c r="E34" s="7" t="s">
        <v>83</v>
      </c>
    </row>
    <row r="35">
      <c r="A35" s="5" t="s">
        <v>84</v>
      </c>
      <c r="B35" s="10">
        <v>7.70432534E8</v>
      </c>
      <c r="C35" s="7" t="s">
        <v>85</v>
      </c>
      <c r="D35" s="7">
        <v>7.02240576E8</v>
      </c>
    </row>
    <row r="36">
      <c r="A36" s="5" t="s">
        <v>86</v>
      </c>
      <c r="B36" s="10">
        <v>7.71559408E8</v>
      </c>
    </row>
    <row r="37">
      <c r="A37" s="11" t="s">
        <v>87</v>
      </c>
      <c r="B37" s="12">
        <v>7.41404687E8</v>
      </c>
      <c r="C37" s="13" t="s">
        <v>88</v>
      </c>
      <c r="D37" s="14">
        <v>7.44231104E8</v>
      </c>
      <c r="E37" s="13" t="s">
        <v>26</v>
      </c>
    </row>
    <row r="38">
      <c r="A38" s="15"/>
      <c r="B38" s="12"/>
      <c r="C38" s="16"/>
    </row>
    <row r="39">
      <c r="A39" s="15"/>
      <c r="B39" s="12"/>
      <c r="C39" s="16"/>
    </row>
    <row r="40">
      <c r="A40" s="15"/>
      <c r="B40" s="12"/>
      <c r="C40" s="16"/>
    </row>
    <row r="41">
      <c r="A41" s="15"/>
      <c r="B41" s="12"/>
      <c r="C41" s="16"/>
    </row>
    <row r="42">
      <c r="A42" s="15"/>
      <c r="B42" s="12"/>
      <c r="C42" s="16"/>
    </row>
    <row r="43">
      <c r="A43" s="15"/>
      <c r="B43" s="12"/>
      <c r="C43" s="16"/>
    </row>
    <row r="44">
      <c r="A44" s="15"/>
      <c r="B44" s="12"/>
      <c r="C44" s="16"/>
    </row>
    <row r="45">
      <c r="A45" s="15"/>
      <c r="B45" s="12"/>
      <c r="C45" s="16"/>
    </row>
    <row r="46">
      <c r="A46" s="15"/>
      <c r="B46" s="12"/>
      <c r="C46" s="16"/>
    </row>
    <row r="47">
      <c r="A47" s="15"/>
      <c r="B47" s="12"/>
      <c r="C47" s="16"/>
    </row>
    <row r="48">
      <c r="A48" s="15"/>
      <c r="B48" s="12"/>
      <c r="C48" s="16"/>
    </row>
    <row r="49">
      <c r="A49" s="15"/>
      <c r="B49" s="12"/>
      <c r="C49" s="16"/>
    </row>
    <row r="50">
      <c r="A50" s="15"/>
      <c r="B50" s="12"/>
      <c r="C50" s="16"/>
    </row>
    <row r="51">
      <c r="A51" s="17"/>
      <c r="B51" s="18"/>
      <c r="C51" s="16"/>
    </row>
    <row r="52">
      <c r="A52" s="15"/>
      <c r="B52" s="12"/>
      <c r="C52" s="16"/>
    </row>
    <row r="53">
      <c r="A53" s="15"/>
      <c r="B53" s="12"/>
      <c r="C53" s="16"/>
    </row>
    <row r="54">
      <c r="A54" s="15"/>
      <c r="B54" s="12"/>
      <c r="C54" s="16"/>
    </row>
    <row r="55">
      <c r="A55" s="15"/>
      <c r="B55" s="12"/>
      <c r="C55" s="16"/>
    </row>
    <row r="56">
      <c r="A56" s="15"/>
      <c r="B56" s="12"/>
      <c r="C56" s="16"/>
    </row>
    <row r="57">
      <c r="A57" s="15"/>
      <c r="B57" s="12"/>
      <c r="C57" s="16"/>
    </row>
    <row r="58">
      <c r="A58" s="15"/>
      <c r="B58" s="12"/>
      <c r="C58" s="16"/>
    </row>
    <row r="59">
      <c r="A59" s="15"/>
      <c r="B59" s="12"/>
      <c r="C59" s="16"/>
    </row>
    <row r="60">
      <c r="A60" s="15"/>
      <c r="B60" s="15"/>
      <c r="C60" s="16"/>
    </row>
    <row r="61">
      <c r="A61" s="15"/>
      <c r="B61" s="12"/>
      <c r="C61" s="16"/>
    </row>
    <row r="62">
      <c r="A62" s="15"/>
      <c r="B62" s="12"/>
      <c r="C62" s="16"/>
    </row>
    <row r="63">
      <c r="A63" s="15"/>
      <c r="B63" s="12"/>
      <c r="C63" s="16"/>
    </row>
    <row r="64">
      <c r="A64" s="15"/>
      <c r="B64" s="12"/>
      <c r="C64" s="16"/>
    </row>
    <row r="65">
      <c r="A65" s="15"/>
      <c r="B65" s="12"/>
      <c r="C65" s="16"/>
    </row>
    <row r="66">
      <c r="A66" s="15"/>
      <c r="B66" s="12"/>
      <c r="C66" s="16"/>
    </row>
    <row r="67">
      <c r="A67" s="15"/>
      <c r="B67" s="12"/>
      <c r="C67" s="16"/>
    </row>
    <row r="68">
      <c r="A68" s="15"/>
      <c r="B68" s="12"/>
      <c r="C68" s="16"/>
    </row>
    <row r="69">
      <c r="A69" s="15"/>
      <c r="B69" s="12"/>
      <c r="C69" s="16"/>
    </row>
    <row r="70">
      <c r="A70" s="15"/>
      <c r="B70" s="12"/>
      <c r="C70" s="16"/>
    </row>
    <row r="71">
      <c r="A71" s="15"/>
      <c r="B71" s="15"/>
      <c r="C71" s="16"/>
    </row>
    <row r="72">
      <c r="A72" s="15"/>
      <c r="B72" s="12"/>
      <c r="C72" s="16"/>
    </row>
    <row r="73">
      <c r="A73" s="19"/>
      <c r="B73" s="19"/>
      <c r="C73" s="16"/>
    </row>
    <row r="74">
      <c r="A74" s="19"/>
      <c r="B74" s="19"/>
      <c r="C74" s="16"/>
    </row>
    <row r="75">
      <c r="A75" s="15"/>
      <c r="B75" s="15"/>
      <c r="C75" s="16"/>
    </row>
    <row r="76">
      <c r="A76" s="15"/>
      <c r="B76" s="12"/>
      <c r="C76" s="16"/>
    </row>
    <row r="77">
      <c r="A77" s="15"/>
      <c r="B77" s="12"/>
      <c r="C77" s="16"/>
    </row>
    <row r="78">
      <c r="A78" s="15"/>
      <c r="B78" s="12"/>
      <c r="C78" s="16"/>
    </row>
    <row r="79">
      <c r="A79" s="15"/>
      <c r="B79" s="12"/>
      <c r="C79" s="16"/>
    </row>
    <row r="80">
      <c r="A80" s="15"/>
      <c r="B80" s="12"/>
      <c r="C80" s="16"/>
    </row>
    <row r="81">
      <c r="A81" s="15"/>
      <c r="B81" s="12"/>
      <c r="C81" s="16"/>
    </row>
    <row r="82">
      <c r="A82" s="15"/>
      <c r="B82" s="12"/>
      <c r="C82" s="16"/>
    </row>
    <row r="83">
      <c r="A83" s="15"/>
      <c r="B83" s="12"/>
      <c r="C83" s="16"/>
    </row>
    <row r="84">
      <c r="A84" s="15"/>
      <c r="B84" s="10"/>
      <c r="C84" s="16"/>
    </row>
    <row r="85">
      <c r="A85" s="15"/>
      <c r="B85" s="12"/>
      <c r="C85" s="16"/>
    </row>
    <row r="86">
      <c r="A86" s="15"/>
      <c r="B86" s="12"/>
      <c r="C86" s="16"/>
    </row>
    <row r="87">
      <c r="A87" s="15"/>
      <c r="B87" s="12"/>
      <c r="C87" s="16"/>
    </row>
    <row r="88">
      <c r="A88" s="15"/>
      <c r="B88" s="12"/>
      <c r="C88" s="16"/>
    </row>
    <row r="89">
      <c r="A89" s="15"/>
      <c r="B89" s="15"/>
      <c r="C89" s="16"/>
    </row>
    <row r="90">
      <c r="A90" s="15"/>
      <c r="B90" s="12"/>
      <c r="C90" s="16"/>
    </row>
    <row r="91">
      <c r="A91" s="15"/>
      <c r="B91" s="15"/>
      <c r="C91" s="16"/>
    </row>
    <row r="92">
      <c r="A92" s="15"/>
      <c r="B92" s="12"/>
      <c r="C92" s="16"/>
    </row>
    <row r="93">
      <c r="A93" s="15"/>
      <c r="B93" s="12"/>
      <c r="C93" s="16"/>
    </row>
    <row r="94">
      <c r="A94" s="15"/>
      <c r="B94" s="12"/>
      <c r="C94" s="16"/>
    </row>
    <row r="95">
      <c r="A95" s="15"/>
      <c r="B95" s="12"/>
      <c r="C95" s="16"/>
    </row>
    <row r="96">
      <c r="A96" s="15"/>
      <c r="B96" s="12"/>
      <c r="C96" s="16"/>
    </row>
    <row r="97">
      <c r="A97" s="15"/>
      <c r="B97" s="12"/>
      <c r="C97" s="16"/>
    </row>
    <row r="98">
      <c r="A98" s="15"/>
      <c r="B98" s="12"/>
      <c r="C98" s="16"/>
    </row>
    <row r="99">
      <c r="A99" s="15"/>
      <c r="B99" s="12"/>
      <c r="C99" s="16"/>
    </row>
    <row r="100">
      <c r="A100" s="15"/>
      <c r="B100" s="12"/>
      <c r="C100" s="16"/>
    </row>
    <row r="101">
      <c r="A101" s="15"/>
      <c r="B101" s="12"/>
      <c r="C101" s="16"/>
    </row>
    <row r="102">
      <c r="A102" s="15"/>
      <c r="B102" s="12"/>
      <c r="C102" s="16"/>
    </row>
    <row r="103">
      <c r="A103" s="15"/>
      <c r="B103" s="12"/>
      <c r="C103" s="16"/>
    </row>
    <row r="104">
      <c r="A104" s="15"/>
      <c r="B104" s="12"/>
      <c r="C104" s="16"/>
    </row>
    <row r="105">
      <c r="A105" s="15"/>
      <c r="B105" s="12"/>
      <c r="C105" s="16"/>
    </row>
    <row r="106">
      <c r="A106" s="15"/>
      <c r="B106" s="12"/>
      <c r="C106" s="16"/>
    </row>
    <row r="107">
      <c r="A107" s="15"/>
      <c r="B107" s="12"/>
      <c r="C107" s="16"/>
    </row>
    <row r="108">
      <c r="A108" s="15"/>
      <c r="B108" s="12"/>
      <c r="C108" s="16"/>
    </row>
    <row r="109">
      <c r="A109" s="15"/>
      <c r="B109" s="12"/>
      <c r="C109" s="16"/>
    </row>
    <row r="110">
      <c r="A110" s="15"/>
      <c r="B110" s="12"/>
      <c r="C110" s="16"/>
    </row>
    <row r="111">
      <c r="A111" s="15"/>
      <c r="B111" s="15"/>
      <c r="C111" s="16"/>
    </row>
    <row r="112">
      <c r="A112" s="15"/>
      <c r="B112" s="15"/>
      <c r="C112" s="16"/>
    </row>
    <row r="113">
      <c r="A113" s="15"/>
      <c r="B113" s="12"/>
      <c r="C113" s="16"/>
    </row>
    <row r="114">
      <c r="A114" s="15"/>
      <c r="B114" s="15"/>
      <c r="C114" s="16"/>
    </row>
    <row r="115">
      <c r="A115" s="15"/>
      <c r="B115" s="12"/>
      <c r="C115" s="16"/>
    </row>
    <row r="116">
      <c r="A116" s="15"/>
      <c r="B116" s="12"/>
      <c r="C116" s="16"/>
    </row>
    <row r="117">
      <c r="A117" s="15"/>
      <c r="B117" s="12"/>
      <c r="C117" s="16"/>
    </row>
    <row r="118">
      <c r="A118" s="15"/>
      <c r="B118" s="15"/>
      <c r="C118" s="16"/>
    </row>
    <row r="119">
      <c r="A119" s="15"/>
      <c r="B119" s="12"/>
      <c r="C119" s="16"/>
    </row>
    <row r="120">
      <c r="A120" s="15"/>
      <c r="B120" s="12"/>
      <c r="C120" s="16"/>
    </row>
    <row r="121">
      <c r="A121" s="15"/>
      <c r="B121" s="12"/>
      <c r="C121" s="16"/>
    </row>
    <row r="122">
      <c r="A122" s="15"/>
      <c r="B122" s="12"/>
      <c r="C122" s="16"/>
    </row>
    <row r="123">
      <c r="A123" s="15"/>
      <c r="B123" s="12"/>
      <c r="C123" s="16"/>
    </row>
    <row r="124">
      <c r="A124" s="15"/>
      <c r="B124" s="12"/>
      <c r="C124" s="16"/>
    </row>
    <row r="125">
      <c r="A125" s="15"/>
      <c r="B125" s="12"/>
      <c r="C125" s="16"/>
    </row>
    <row r="126">
      <c r="A126" s="15"/>
      <c r="B126" s="15"/>
      <c r="C126" s="16"/>
    </row>
    <row r="127">
      <c r="A127" s="15"/>
      <c r="B127" s="12"/>
      <c r="C127" s="16"/>
    </row>
    <row r="128">
      <c r="A128" s="15"/>
      <c r="B128" s="12"/>
      <c r="C128" s="16"/>
    </row>
    <row r="129">
      <c r="A129" s="15"/>
      <c r="B129" s="12"/>
      <c r="C129" s="16"/>
    </row>
    <row r="130">
      <c r="A130" s="15"/>
      <c r="B130" s="15"/>
      <c r="C130" s="16"/>
    </row>
    <row r="131">
      <c r="A131" s="15"/>
      <c r="B131" s="12"/>
      <c r="C131" s="16"/>
    </row>
    <row r="132">
      <c r="A132" s="15"/>
      <c r="B132" s="12"/>
      <c r="C132" s="16"/>
    </row>
    <row r="133">
      <c r="A133" s="15"/>
      <c r="B133" s="12"/>
      <c r="C133" s="16"/>
    </row>
    <row r="134">
      <c r="A134" s="15"/>
      <c r="B134" s="12"/>
      <c r="C134" s="16"/>
    </row>
    <row r="135">
      <c r="A135" s="15"/>
      <c r="B135" s="15"/>
      <c r="C135" s="16"/>
    </row>
    <row r="136">
      <c r="A136" s="15"/>
      <c r="B136" s="12"/>
      <c r="C136" s="16"/>
    </row>
    <row r="137">
      <c r="A137" s="19"/>
      <c r="B137" s="12"/>
      <c r="C137" s="16"/>
    </row>
    <row r="138">
      <c r="A138" s="15"/>
      <c r="B138" s="12"/>
      <c r="C138" s="16"/>
    </row>
    <row r="139">
      <c r="A139" s="15"/>
      <c r="B139" s="12"/>
      <c r="C139" s="16"/>
    </row>
    <row r="140">
      <c r="A140" s="15"/>
      <c r="B140" s="15"/>
      <c r="C140" s="16"/>
    </row>
    <row r="141">
      <c r="A141" s="15"/>
      <c r="B141" s="12"/>
      <c r="C141" s="16"/>
    </row>
    <row r="142">
      <c r="A142" s="15"/>
      <c r="B142" s="12"/>
      <c r="C142" s="16"/>
    </row>
    <row r="143">
      <c r="A143" s="15"/>
      <c r="B143" s="12"/>
      <c r="C143" s="16"/>
    </row>
    <row r="144">
      <c r="A144" s="15"/>
      <c r="B144" s="12"/>
      <c r="C144" s="16"/>
    </row>
    <row r="145">
      <c r="A145" s="15"/>
      <c r="B145" s="15"/>
      <c r="C145" s="16"/>
    </row>
    <row r="146">
      <c r="A146" s="15"/>
      <c r="B146" s="12"/>
      <c r="C146" s="16"/>
    </row>
    <row r="147">
      <c r="A147" s="15"/>
      <c r="B147" s="12"/>
      <c r="C147" s="16"/>
    </row>
    <row r="148">
      <c r="A148" s="15"/>
      <c r="B148" s="12"/>
      <c r="C148" s="16"/>
    </row>
    <row r="149">
      <c r="A149" s="15"/>
      <c r="B149" s="15"/>
      <c r="C149" s="16"/>
    </row>
    <row r="150">
      <c r="A150" s="15"/>
      <c r="B150" s="12"/>
      <c r="C150" s="16"/>
    </row>
    <row r="151">
      <c r="A151" s="15"/>
      <c r="B151" s="15"/>
      <c r="C151" s="16"/>
    </row>
    <row r="152">
      <c r="A152" s="15"/>
      <c r="B152" s="15"/>
      <c r="C152" s="16"/>
    </row>
    <row r="153">
      <c r="A153" s="15"/>
      <c r="B153" s="12"/>
      <c r="C153" s="16"/>
    </row>
    <row r="154">
      <c r="A154" s="15"/>
      <c r="B154" s="12"/>
      <c r="C154" s="16"/>
    </row>
    <row r="155">
      <c r="A155" s="15"/>
      <c r="B155" s="12"/>
      <c r="C155" s="16"/>
    </row>
    <row r="156">
      <c r="A156" s="15"/>
      <c r="B156" s="12"/>
      <c r="C156" s="16"/>
    </row>
    <row r="157">
      <c r="A157" s="15"/>
      <c r="B157" s="12"/>
      <c r="C157" s="16"/>
    </row>
    <row r="158">
      <c r="A158" s="15"/>
      <c r="B158" s="12"/>
      <c r="C158" s="16"/>
    </row>
    <row r="159">
      <c r="A159" s="15"/>
      <c r="B159" s="12"/>
      <c r="C159" s="16"/>
    </row>
    <row r="160">
      <c r="A160" s="15"/>
      <c r="B160" s="12"/>
      <c r="C160" s="16"/>
    </row>
    <row r="161">
      <c r="A161" s="15"/>
      <c r="B161" s="15"/>
      <c r="C161" s="16"/>
    </row>
    <row r="162">
      <c r="A162" s="15"/>
      <c r="B162" s="15"/>
      <c r="C162" s="16"/>
    </row>
    <row r="163">
      <c r="A163" s="15"/>
      <c r="B163" s="12"/>
      <c r="C163" s="16"/>
    </row>
    <row r="164">
      <c r="A164" s="15"/>
      <c r="B164" s="12"/>
      <c r="C164" s="16"/>
    </row>
    <row r="165">
      <c r="A165" s="15"/>
      <c r="B165" s="15"/>
      <c r="C165" s="16"/>
    </row>
    <row r="166">
      <c r="A166" s="15"/>
      <c r="B166" s="12"/>
      <c r="C166" s="16"/>
    </row>
    <row r="167">
      <c r="A167" s="15"/>
      <c r="B167" s="12"/>
      <c r="C167" s="16"/>
    </row>
    <row r="168">
      <c r="A168" s="15"/>
      <c r="B168" s="12"/>
      <c r="C168" s="16"/>
    </row>
    <row r="169">
      <c r="A169" s="15"/>
      <c r="B169" s="12"/>
      <c r="C169" s="16"/>
    </row>
    <row r="170">
      <c r="A170" s="15"/>
      <c r="B170" s="12"/>
      <c r="C170" s="16"/>
    </row>
    <row r="171">
      <c r="A171" s="15"/>
      <c r="B171" s="12"/>
      <c r="C171" s="16"/>
    </row>
    <row r="172">
      <c r="A172" s="15"/>
      <c r="B172" s="12"/>
      <c r="C172" s="16"/>
    </row>
    <row r="173">
      <c r="A173" s="15"/>
      <c r="B173" s="12"/>
      <c r="C173" s="16"/>
    </row>
    <row r="174">
      <c r="A174" s="15"/>
      <c r="B174" s="12"/>
      <c r="C174" s="16"/>
    </row>
    <row r="175">
      <c r="A175" s="15"/>
      <c r="B175" s="12"/>
      <c r="C175" s="16"/>
    </row>
    <row r="176">
      <c r="A176" s="15"/>
      <c r="B176" s="12"/>
      <c r="C176" s="16"/>
    </row>
    <row r="177">
      <c r="A177" s="15"/>
      <c r="B177" s="12"/>
      <c r="C177" s="16"/>
    </row>
    <row r="178">
      <c r="A178" s="15"/>
      <c r="B178" s="12"/>
      <c r="C178" s="16"/>
    </row>
    <row r="179">
      <c r="A179" s="15"/>
      <c r="B179" s="15"/>
      <c r="C179" s="16"/>
    </row>
    <row r="180">
      <c r="A180" s="19"/>
      <c r="B180" s="19"/>
      <c r="C180" s="16"/>
    </row>
    <row r="181">
      <c r="A181" s="15"/>
      <c r="B181" s="19"/>
      <c r="C181" s="16"/>
    </row>
    <row r="182">
      <c r="A182" s="15"/>
      <c r="B182" s="12"/>
      <c r="C182" s="16"/>
    </row>
    <row r="183">
      <c r="A183" s="15"/>
      <c r="B183" s="12"/>
      <c r="C183" s="16"/>
    </row>
    <row r="184">
      <c r="A184" s="19"/>
      <c r="B184" s="19"/>
      <c r="C184" s="16"/>
    </row>
    <row r="185">
      <c r="A185" s="19"/>
      <c r="B185" s="19"/>
      <c r="C185" s="16"/>
    </row>
    <row r="186">
      <c r="A186" s="19"/>
      <c r="B186" s="19"/>
      <c r="C186" s="16"/>
    </row>
    <row r="187">
      <c r="A187" s="19"/>
      <c r="B187" s="19"/>
      <c r="C187" s="16"/>
    </row>
    <row r="188">
      <c r="A188" s="19"/>
      <c r="B188" s="19"/>
      <c r="C188" s="16"/>
    </row>
    <row r="189">
      <c r="A189" s="19"/>
      <c r="B189" s="19"/>
      <c r="C189" s="16"/>
    </row>
    <row r="190">
      <c r="A190" s="19"/>
      <c r="B190" s="19"/>
      <c r="C190" s="16"/>
    </row>
    <row r="191">
      <c r="A191" s="19"/>
      <c r="B191" s="19"/>
      <c r="C191" s="16"/>
    </row>
    <row r="192">
      <c r="A192" s="19"/>
      <c r="B192" s="19"/>
      <c r="C192" s="16"/>
    </row>
    <row r="193">
      <c r="A193" s="19"/>
      <c r="B193" s="19"/>
      <c r="C193" s="16"/>
    </row>
    <row r="194">
      <c r="A194" s="19"/>
      <c r="B194" s="19"/>
      <c r="C194" s="16"/>
    </row>
    <row r="195">
      <c r="A195" s="19"/>
      <c r="B195" s="19"/>
      <c r="C195" s="16"/>
    </row>
    <row r="196">
      <c r="A196" s="19"/>
      <c r="B196" s="19"/>
      <c r="C196" s="16"/>
    </row>
    <row r="197">
      <c r="A197" s="19"/>
      <c r="B197" s="19"/>
      <c r="C197" s="16"/>
    </row>
    <row r="198">
      <c r="A198" s="19"/>
      <c r="B198" s="19"/>
      <c r="C198" s="16"/>
    </row>
    <row r="199">
      <c r="A199" s="19"/>
      <c r="B199" s="19"/>
      <c r="C199" s="16"/>
    </row>
    <row r="200">
      <c r="A200" s="19"/>
      <c r="B200" s="19"/>
      <c r="C200" s="16"/>
    </row>
    <row r="201">
      <c r="A201" s="19"/>
      <c r="B201" s="19"/>
      <c r="C201" s="16"/>
    </row>
    <row r="202">
      <c r="A202" s="19"/>
      <c r="B202" s="19"/>
      <c r="C202" s="16"/>
    </row>
    <row r="203">
      <c r="A203" s="19"/>
      <c r="B203" s="19"/>
      <c r="C203" s="16"/>
    </row>
    <row r="204">
      <c r="A204" s="19"/>
      <c r="B204" s="19"/>
      <c r="C204" s="16"/>
    </row>
    <row r="205">
      <c r="A205" s="19"/>
      <c r="B205" s="19"/>
      <c r="C205" s="16"/>
    </row>
    <row r="455">
      <c r="A455" s="19"/>
      <c r="B455" s="19"/>
      <c r="C455" s="16"/>
    </row>
    <row r="456">
      <c r="A456" s="19"/>
      <c r="B456" s="19"/>
      <c r="C456" s="16"/>
    </row>
    <row r="457">
      <c r="A457" s="19"/>
      <c r="B457" s="19"/>
      <c r="C457" s="16"/>
    </row>
    <row r="458">
      <c r="A458" s="19"/>
      <c r="B458" s="19"/>
      <c r="C458" s="16"/>
    </row>
    <row r="459">
      <c r="A459" s="19"/>
      <c r="B459" s="19"/>
      <c r="C459" s="16"/>
    </row>
    <row r="460">
      <c r="A460" s="19"/>
      <c r="B460" s="19"/>
      <c r="C460" s="16"/>
    </row>
    <row r="461">
      <c r="A461" s="19"/>
      <c r="B461" s="19"/>
      <c r="C461" s="16"/>
    </row>
    <row r="462">
      <c r="A462" s="19"/>
      <c r="B462" s="19"/>
      <c r="C462" s="16"/>
    </row>
    <row r="463">
      <c r="A463" s="19"/>
      <c r="B463" s="19"/>
      <c r="C463" s="16"/>
    </row>
    <row r="464">
      <c r="A464" s="19"/>
      <c r="B464" s="19"/>
      <c r="C464" s="16"/>
    </row>
    <row r="465">
      <c r="A465" s="19"/>
      <c r="B465" s="19"/>
      <c r="C465" s="16"/>
    </row>
    <row r="466">
      <c r="A466" s="19"/>
      <c r="B466" s="19"/>
      <c r="C466" s="16"/>
    </row>
    <row r="467">
      <c r="A467" s="19"/>
      <c r="B467" s="19"/>
      <c r="C467" s="16"/>
    </row>
    <row r="468">
      <c r="A468" s="19"/>
      <c r="B468" s="19"/>
      <c r="C468" s="16"/>
    </row>
    <row r="469">
      <c r="A469" s="19"/>
      <c r="B469" s="19"/>
      <c r="C469" s="16"/>
    </row>
    <row r="470">
      <c r="A470" s="19"/>
      <c r="B470" s="19"/>
      <c r="C470" s="16"/>
    </row>
    <row r="471">
      <c r="A471" s="19"/>
      <c r="B471" s="19"/>
      <c r="C471" s="16"/>
    </row>
    <row r="472">
      <c r="A472" s="19"/>
      <c r="B472" s="19"/>
      <c r="C472" s="16"/>
    </row>
    <row r="473">
      <c r="A473" s="19"/>
      <c r="B473" s="19"/>
      <c r="C473" s="16"/>
    </row>
    <row r="474">
      <c r="A474" s="19"/>
      <c r="B474" s="19"/>
      <c r="C474" s="16"/>
    </row>
    <row r="475">
      <c r="A475" s="19"/>
      <c r="B475" s="19"/>
      <c r="C475" s="16"/>
    </row>
    <row r="476">
      <c r="A476" s="19"/>
      <c r="B476" s="19"/>
      <c r="C476" s="16"/>
    </row>
    <row r="477">
      <c r="A477" s="19"/>
      <c r="B477" s="19"/>
      <c r="C477" s="16"/>
    </row>
    <row r="478">
      <c r="A478" s="19"/>
      <c r="B478" s="19"/>
      <c r="C478" s="16"/>
    </row>
    <row r="479">
      <c r="A479" s="19"/>
      <c r="B479" s="19"/>
      <c r="C479" s="16"/>
    </row>
    <row r="480">
      <c r="A480" s="19"/>
      <c r="B480" s="19"/>
      <c r="C480" s="16"/>
    </row>
    <row r="481">
      <c r="A481" s="19"/>
      <c r="B481" s="19"/>
      <c r="C481" s="16"/>
    </row>
    <row r="482">
      <c r="A482" s="19"/>
      <c r="B482" s="19"/>
      <c r="C482" s="16"/>
    </row>
    <row r="483">
      <c r="A483" s="19"/>
      <c r="B483" s="19"/>
      <c r="C483" s="16"/>
    </row>
    <row r="484">
      <c r="A484" s="19"/>
      <c r="B484" s="19"/>
      <c r="C484" s="16"/>
    </row>
    <row r="485">
      <c r="A485" s="19"/>
      <c r="B485" s="19"/>
      <c r="C485" s="16"/>
    </row>
    <row r="486">
      <c r="A486" s="19"/>
      <c r="B486" s="19"/>
      <c r="C486" s="16"/>
    </row>
    <row r="487">
      <c r="A487" s="19"/>
      <c r="B487" s="19"/>
      <c r="C487" s="16"/>
    </row>
    <row r="488">
      <c r="A488" s="19"/>
      <c r="B488" s="19"/>
      <c r="C488" s="16"/>
    </row>
    <row r="489">
      <c r="A489" s="19"/>
      <c r="B489" s="19"/>
      <c r="C489" s="16"/>
    </row>
    <row r="490">
      <c r="A490" s="19"/>
      <c r="B490" s="19"/>
      <c r="C490" s="16"/>
    </row>
    <row r="491">
      <c r="A491" s="19"/>
      <c r="B491" s="19"/>
      <c r="C491" s="16"/>
    </row>
    <row r="492">
      <c r="A492" s="19"/>
      <c r="B492" s="19"/>
      <c r="C492" s="16"/>
    </row>
    <row r="493">
      <c r="A493" s="19"/>
      <c r="B493" s="19"/>
      <c r="C493" s="16"/>
    </row>
    <row r="494">
      <c r="A494" s="19"/>
      <c r="B494" s="19"/>
      <c r="C494" s="16"/>
    </row>
    <row r="495">
      <c r="A495" s="19"/>
      <c r="B495" s="19"/>
      <c r="C495" s="16"/>
    </row>
    <row r="496">
      <c r="A496" s="19"/>
      <c r="B496" s="19"/>
      <c r="C496" s="16"/>
    </row>
    <row r="497">
      <c r="A497" s="19"/>
      <c r="B497" s="19"/>
      <c r="C497" s="16"/>
    </row>
    <row r="498">
      <c r="A498" s="19"/>
      <c r="B498" s="19"/>
      <c r="C498" s="16"/>
    </row>
    <row r="499">
      <c r="A499" s="19"/>
      <c r="B499" s="19"/>
      <c r="C499" s="16"/>
    </row>
    <row r="500">
      <c r="A500" s="19"/>
      <c r="B500" s="19"/>
      <c r="C500" s="16"/>
    </row>
    <row r="501">
      <c r="A501" s="19"/>
      <c r="B501" s="19"/>
      <c r="C501" s="16"/>
    </row>
    <row r="502">
      <c r="A502" s="19"/>
      <c r="B502" s="19"/>
      <c r="C502" s="16"/>
    </row>
    <row r="503">
      <c r="A503" s="19"/>
      <c r="B503" s="19"/>
      <c r="C503" s="16"/>
    </row>
    <row r="504">
      <c r="A504" s="19"/>
      <c r="B504" s="19"/>
      <c r="C504" s="16"/>
    </row>
    <row r="505">
      <c r="A505" s="19"/>
      <c r="B505" s="19"/>
      <c r="C505" s="16"/>
    </row>
    <row r="506">
      <c r="A506" s="19"/>
      <c r="B506" s="19"/>
      <c r="C506" s="16"/>
    </row>
    <row r="507">
      <c r="A507" s="19"/>
      <c r="B507" s="19"/>
      <c r="C507" s="16"/>
    </row>
    <row r="508">
      <c r="A508" s="19"/>
      <c r="B508" s="19"/>
      <c r="C508" s="16"/>
    </row>
    <row r="509">
      <c r="A509" s="19"/>
      <c r="B509" s="19"/>
      <c r="C509" s="16"/>
    </row>
    <row r="510">
      <c r="A510" s="19"/>
      <c r="B510" s="19"/>
      <c r="C510" s="16"/>
    </row>
    <row r="511">
      <c r="A511" s="19"/>
      <c r="B511" s="19"/>
      <c r="C511" s="16"/>
    </row>
    <row r="512">
      <c r="A512" s="19"/>
      <c r="B512" s="19"/>
      <c r="C512" s="16"/>
    </row>
    <row r="513">
      <c r="A513" s="19"/>
      <c r="B513" s="19"/>
      <c r="C513" s="16"/>
    </row>
    <row r="514">
      <c r="A514" s="19"/>
      <c r="B514" s="19"/>
      <c r="C514" s="16"/>
    </row>
    <row r="515">
      <c r="A515" s="19"/>
      <c r="B515" s="19"/>
      <c r="C515" s="16"/>
    </row>
    <row r="516">
      <c r="A516" s="19"/>
      <c r="B516" s="19"/>
      <c r="C516" s="16"/>
    </row>
    <row r="517">
      <c r="A517" s="19"/>
      <c r="B517" s="19"/>
      <c r="C517" s="16"/>
    </row>
    <row r="518">
      <c r="A518" s="19"/>
      <c r="B518" s="19"/>
      <c r="C518" s="16"/>
    </row>
    <row r="519">
      <c r="A519" s="19"/>
      <c r="B519" s="19"/>
      <c r="C519" s="16"/>
    </row>
    <row r="520">
      <c r="A520" s="19"/>
      <c r="B520" s="19"/>
      <c r="C520" s="16"/>
    </row>
    <row r="521">
      <c r="A521" s="19"/>
      <c r="B521" s="19"/>
      <c r="C521" s="16"/>
    </row>
    <row r="522">
      <c r="A522" s="19"/>
      <c r="B522" s="19"/>
      <c r="C522" s="16"/>
    </row>
    <row r="523">
      <c r="A523" s="19"/>
      <c r="B523" s="19"/>
      <c r="C523" s="16"/>
    </row>
    <row r="524">
      <c r="A524" s="19"/>
      <c r="B524" s="19"/>
      <c r="C524" s="16"/>
    </row>
    <row r="525">
      <c r="A525" s="19"/>
      <c r="B525" s="19"/>
      <c r="C525" s="16"/>
    </row>
    <row r="526">
      <c r="A526" s="19"/>
      <c r="B526" s="19"/>
      <c r="C526" s="16"/>
    </row>
    <row r="527">
      <c r="A527" s="19"/>
      <c r="B527" s="19"/>
      <c r="C527" s="16"/>
    </row>
    <row r="528">
      <c r="A528" s="19"/>
      <c r="B528" s="19"/>
      <c r="C528" s="16"/>
    </row>
    <row r="529">
      <c r="A529" s="19"/>
      <c r="B529" s="19"/>
      <c r="C529" s="16"/>
    </row>
    <row r="530">
      <c r="A530" s="19"/>
      <c r="B530" s="19"/>
      <c r="C530" s="16"/>
    </row>
    <row r="531">
      <c r="A531" s="19"/>
      <c r="B531" s="19"/>
      <c r="C531" s="16"/>
    </row>
    <row r="532">
      <c r="A532" s="19"/>
      <c r="B532" s="19"/>
      <c r="C532" s="16"/>
    </row>
    <row r="533">
      <c r="A533" s="19"/>
      <c r="B533" s="19"/>
      <c r="C533" s="16"/>
    </row>
    <row r="534">
      <c r="A534" s="19"/>
      <c r="B534" s="19"/>
      <c r="C534" s="16"/>
    </row>
    <row r="535">
      <c r="A535" s="19"/>
      <c r="B535" s="19"/>
      <c r="C535" s="16"/>
    </row>
    <row r="536">
      <c r="A536" s="19"/>
      <c r="B536" s="19"/>
      <c r="C536" s="16"/>
    </row>
    <row r="537">
      <c r="A537" s="19"/>
      <c r="B537" s="19"/>
      <c r="C537" s="16"/>
    </row>
    <row r="538">
      <c r="A538" s="19"/>
      <c r="B538" s="19"/>
      <c r="C538" s="16"/>
    </row>
    <row r="539">
      <c r="A539" s="19"/>
      <c r="B539" s="19"/>
      <c r="C539" s="16"/>
    </row>
    <row r="540">
      <c r="A540" s="19"/>
      <c r="B540" s="19"/>
      <c r="C540" s="16"/>
    </row>
    <row r="541">
      <c r="A541" s="19"/>
      <c r="B541" s="19"/>
      <c r="C541" s="16"/>
    </row>
    <row r="542">
      <c r="A542" s="19"/>
      <c r="B542" s="19"/>
      <c r="C542" s="16"/>
    </row>
    <row r="543">
      <c r="A543" s="19"/>
      <c r="B543" s="19"/>
      <c r="C543" s="16"/>
    </row>
    <row r="544">
      <c r="A544" s="19"/>
      <c r="B544" s="19"/>
      <c r="C544" s="16"/>
    </row>
    <row r="545">
      <c r="A545" s="19"/>
      <c r="B545" s="19"/>
      <c r="C545" s="16"/>
    </row>
    <row r="546">
      <c r="A546" s="19"/>
      <c r="B546" s="19"/>
      <c r="C546" s="16"/>
    </row>
    <row r="547">
      <c r="A547" s="19"/>
      <c r="B547" s="19"/>
      <c r="C547" s="16"/>
    </row>
    <row r="548">
      <c r="A548" s="19"/>
      <c r="B548" s="19"/>
      <c r="C548" s="16"/>
    </row>
    <row r="549">
      <c r="A549" s="19"/>
      <c r="B549" s="19"/>
      <c r="C549" s="16"/>
    </row>
    <row r="550">
      <c r="A550" s="19"/>
      <c r="B550" s="19"/>
      <c r="C550" s="16"/>
    </row>
    <row r="551">
      <c r="A551" s="19"/>
      <c r="B551" s="19"/>
      <c r="C551" s="16"/>
    </row>
    <row r="552">
      <c r="A552" s="19"/>
      <c r="B552" s="19"/>
      <c r="C552" s="16"/>
    </row>
    <row r="553">
      <c r="A553" s="19"/>
      <c r="B553" s="19"/>
      <c r="C553" s="16"/>
    </row>
    <row r="554">
      <c r="A554" s="19"/>
      <c r="B554" s="19"/>
      <c r="C554" s="16"/>
    </row>
    <row r="555">
      <c r="A555" s="19"/>
      <c r="B555" s="19"/>
      <c r="C555" s="16"/>
    </row>
    <row r="556">
      <c r="A556" s="19"/>
      <c r="B556" s="19"/>
      <c r="C556" s="16"/>
    </row>
    <row r="557">
      <c r="A557" s="19"/>
      <c r="B557" s="19"/>
      <c r="C557" s="16"/>
    </row>
    <row r="558">
      <c r="A558" s="19"/>
      <c r="B558" s="19"/>
      <c r="C558" s="16"/>
    </row>
    <row r="559">
      <c r="A559" s="19"/>
      <c r="B559" s="19"/>
      <c r="C559" s="16"/>
    </row>
    <row r="560">
      <c r="A560" s="19"/>
      <c r="B560" s="19"/>
      <c r="C560" s="16"/>
    </row>
    <row r="561">
      <c r="A561" s="19"/>
      <c r="B561" s="19"/>
      <c r="C561" s="16"/>
    </row>
    <row r="562">
      <c r="A562" s="19"/>
      <c r="B562" s="19"/>
      <c r="C562" s="16"/>
    </row>
    <row r="563">
      <c r="A563" s="19"/>
      <c r="B563" s="19"/>
      <c r="C563" s="16"/>
    </row>
    <row r="564">
      <c r="A564" s="19"/>
      <c r="B564" s="19"/>
      <c r="C564" s="16"/>
    </row>
    <row r="565">
      <c r="A565" s="19"/>
      <c r="B565" s="19"/>
      <c r="C565" s="16"/>
    </row>
    <row r="566">
      <c r="A566" s="19"/>
      <c r="B566" s="19"/>
      <c r="C566" s="16"/>
    </row>
    <row r="567">
      <c r="A567" s="19"/>
      <c r="B567" s="19"/>
      <c r="C567" s="16"/>
    </row>
    <row r="568">
      <c r="A568" s="19"/>
      <c r="B568" s="19"/>
      <c r="C568" s="16"/>
    </row>
    <row r="569">
      <c r="A569" s="19"/>
      <c r="B569" s="19"/>
      <c r="C569" s="16"/>
    </row>
    <row r="570">
      <c r="A570" s="19"/>
      <c r="B570" s="19"/>
      <c r="C570" s="16"/>
    </row>
    <row r="571">
      <c r="A571" s="19"/>
      <c r="B571" s="19"/>
      <c r="C571" s="16"/>
    </row>
    <row r="572">
      <c r="A572" s="19"/>
      <c r="B572" s="19"/>
      <c r="C572" s="16"/>
    </row>
    <row r="573">
      <c r="A573" s="19"/>
      <c r="B573" s="19"/>
      <c r="C573" s="16"/>
    </row>
    <row r="574">
      <c r="A574" s="19"/>
      <c r="B574" s="19"/>
      <c r="C574" s="16"/>
    </row>
    <row r="575">
      <c r="A575" s="19"/>
      <c r="B575" s="19"/>
      <c r="C575" s="16"/>
    </row>
    <row r="576">
      <c r="A576" s="19"/>
      <c r="B576" s="19"/>
      <c r="C576" s="16"/>
    </row>
    <row r="577">
      <c r="A577" s="19"/>
      <c r="B577" s="19"/>
      <c r="C577" s="16"/>
    </row>
    <row r="578">
      <c r="A578" s="19"/>
      <c r="B578" s="19"/>
      <c r="C578" s="16"/>
    </row>
    <row r="579">
      <c r="A579" s="19"/>
      <c r="B579" s="19"/>
      <c r="C579" s="16"/>
    </row>
    <row r="580">
      <c r="A580" s="19"/>
      <c r="B580" s="19"/>
      <c r="C580" s="16"/>
    </row>
    <row r="581">
      <c r="A581" s="19"/>
      <c r="B581" s="19"/>
      <c r="C581" s="16"/>
    </row>
    <row r="582">
      <c r="A582" s="19"/>
      <c r="B582" s="19"/>
      <c r="C582" s="16"/>
    </row>
    <row r="583">
      <c r="A583" s="19"/>
      <c r="B583" s="19"/>
      <c r="C583" s="16"/>
    </row>
    <row r="584">
      <c r="A584" s="19"/>
      <c r="B584" s="19"/>
      <c r="C584" s="16"/>
    </row>
    <row r="585">
      <c r="A585" s="19"/>
      <c r="B585" s="19"/>
      <c r="C585" s="16"/>
    </row>
    <row r="586">
      <c r="A586" s="19"/>
      <c r="B586" s="19"/>
      <c r="C586" s="16"/>
    </row>
    <row r="587">
      <c r="A587" s="19"/>
      <c r="B587" s="19"/>
      <c r="C587" s="16"/>
    </row>
    <row r="588">
      <c r="A588" s="19"/>
      <c r="B588" s="19"/>
      <c r="C588" s="16"/>
    </row>
    <row r="589">
      <c r="A589" s="19"/>
      <c r="B589" s="19"/>
      <c r="C589" s="16"/>
    </row>
    <row r="590">
      <c r="A590" s="19"/>
      <c r="B590" s="19"/>
      <c r="C590" s="16"/>
    </row>
    <row r="591">
      <c r="A591" s="19"/>
      <c r="B591" s="19"/>
      <c r="C591" s="16"/>
    </row>
    <row r="592">
      <c r="A592" s="19"/>
      <c r="B592" s="19"/>
      <c r="C592" s="16"/>
    </row>
    <row r="593">
      <c r="A593" s="19"/>
      <c r="B593" s="19"/>
      <c r="C593" s="16"/>
    </row>
    <row r="594">
      <c r="A594" s="19"/>
      <c r="B594" s="19"/>
      <c r="C594" s="16"/>
    </row>
    <row r="595">
      <c r="A595" s="19"/>
      <c r="B595" s="19"/>
      <c r="C595" s="16"/>
    </row>
    <row r="596">
      <c r="A596" s="19"/>
      <c r="B596" s="19"/>
      <c r="C596" s="16"/>
    </row>
    <row r="597">
      <c r="A597" s="19"/>
      <c r="B597" s="19"/>
      <c r="C597" s="16"/>
    </row>
    <row r="598">
      <c r="A598" s="19"/>
      <c r="B598" s="19"/>
      <c r="C598" s="16"/>
    </row>
    <row r="599">
      <c r="A599" s="19"/>
      <c r="B599" s="19"/>
      <c r="C599" s="16"/>
    </row>
    <row r="600">
      <c r="A600" s="19"/>
      <c r="B600" s="19"/>
      <c r="C600" s="16"/>
    </row>
    <row r="601">
      <c r="A601" s="19"/>
      <c r="B601" s="19"/>
      <c r="C601" s="16"/>
    </row>
    <row r="602">
      <c r="A602" s="19"/>
      <c r="B602" s="19"/>
      <c r="C602" s="16"/>
    </row>
    <row r="603">
      <c r="A603" s="19"/>
      <c r="B603" s="19"/>
      <c r="C603" s="16"/>
    </row>
    <row r="604">
      <c r="A604" s="19"/>
      <c r="B604" s="19"/>
      <c r="C604" s="16"/>
    </row>
    <row r="605">
      <c r="A605" s="19"/>
      <c r="B605" s="19"/>
      <c r="C605" s="16"/>
    </row>
    <row r="606">
      <c r="A606" s="19"/>
      <c r="B606" s="19"/>
      <c r="C606" s="16"/>
    </row>
    <row r="607">
      <c r="A607" s="19"/>
      <c r="B607" s="19"/>
      <c r="C607" s="16"/>
    </row>
    <row r="608">
      <c r="A608" s="19"/>
      <c r="B608" s="19"/>
      <c r="C608" s="16"/>
    </row>
    <row r="609">
      <c r="A609" s="19"/>
      <c r="B609" s="19"/>
      <c r="C609" s="16"/>
    </row>
    <row r="610">
      <c r="A610" s="19"/>
      <c r="B610" s="19"/>
      <c r="C610" s="16"/>
    </row>
    <row r="611">
      <c r="A611" s="19"/>
      <c r="B611" s="19"/>
      <c r="C611" s="16"/>
    </row>
    <row r="612">
      <c r="A612" s="19"/>
      <c r="B612" s="19"/>
      <c r="C612" s="16"/>
    </row>
    <row r="613">
      <c r="A613" s="19"/>
      <c r="B613" s="19"/>
      <c r="C613" s="16"/>
    </row>
    <row r="614">
      <c r="A614" s="19"/>
      <c r="B614" s="19"/>
      <c r="C614" s="16"/>
    </row>
    <row r="615">
      <c r="A615" s="19"/>
      <c r="B615" s="19"/>
      <c r="C615" s="16"/>
    </row>
    <row r="616">
      <c r="A616" s="19"/>
      <c r="B616" s="19"/>
      <c r="C616" s="16"/>
    </row>
    <row r="617">
      <c r="A617" s="19"/>
      <c r="B617" s="19"/>
      <c r="C617" s="16"/>
    </row>
    <row r="618">
      <c r="A618" s="19"/>
      <c r="B618" s="19"/>
      <c r="C618" s="16"/>
    </row>
    <row r="619">
      <c r="A619" s="19"/>
      <c r="B619" s="19"/>
      <c r="C619" s="16"/>
    </row>
    <row r="620">
      <c r="A620" s="19"/>
      <c r="B620" s="19"/>
      <c r="C620" s="16"/>
    </row>
    <row r="621">
      <c r="A621" s="19"/>
      <c r="B621" s="19"/>
      <c r="C621" s="16"/>
    </row>
    <row r="622">
      <c r="A622" s="19"/>
      <c r="B622" s="19"/>
      <c r="C622" s="16"/>
    </row>
    <row r="623">
      <c r="A623" s="19"/>
      <c r="B623" s="19"/>
      <c r="C623" s="16"/>
    </row>
    <row r="624">
      <c r="A624" s="19"/>
      <c r="B624" s="19"/>
      <c r="C624" s="16"/>
    </row>
    <row r="625">
      <c r="A625" s="19"/>
      <c r="B625" s="19"/>
      <c r="C625" s="16"/>
    </row>
    <row r="626">
      <c r="A626" s="19"/>
      <c r="B626" s="19"/>
      <c r="C626" s="16"/>
    </row>
    <row r="627">
      <c r="A627" s="19"/>
      <c r="B627" s="19"/>
      <c r="C627" s="16"/>
    </row>
    <row r="628">
      <c r="A628" s="19"/>
      <c r="B628" s="19"/>
      <c r="C628" s="16"/>
    </row>
    <row r="629">
      <c r="A629" s="19"/>
      <c r="B629" s="19"/>
      <c r="C629" s="16"/>
    </row>
    <row r="630">
      <c r="A630" s="19"/>
      <c r="B630" s="19"/>
      <c r="C630" s="16"/>
    </row>
    <row r="631">
      <c r="A631" s="19"/>
      <c r="B631" s="19"/>
      <c r="C631" s="16"/>
    </row>
    <row r="632">
      <c r="A632" s="19"/>
      <c r="B632" s="19"/>
      <c r="C632" s="16"/>
    </row>
    <row r="633">
      <c r="A633" s="19"/>
      <c r="B633" s="19"/>
      <c r="C633" s="16"/>
    </row>
    <row r="634">
      <c r="A634" s="19"/>
      <c r="B634" s="19"/>
      <c r="C634" s="16"/>
    </row>
    <row r="635">
      <c r="A635" s="19"/>
      <c r="B635" s="19"/>
      <c r="C635" s="16"/>
    </row>
    <row r="636">
      <c r="A636" s="19"/>
      <c r="B636" s="19"/>
      <c r="C636" s="16"/>
    </row>
    <row r="637">
      <c r="A637" s="19"/>
      <c r="B637" s="19"/>
      <c r="C637" s="16"/>
    </row>
    <row r="638">
      <c r="A638" s="19"/>
      <c r="B638" s="19"/>
      <c r="C638" s="16"/>
    </row>
    <row r="639">
      <c r="A639" s="19"/>
      <c r="B639" s="19"/>
      <c r="C639" s="16"/>
    </row>
    <row r="640">
      <c r="A640" s="19"/>
      <c r="B640" s="19"/>
      <c r="C640" s="16"/>
    </row>
    <row r="641">
      <c r="A641" s="19"/>
      <c r="B641" s="19"/>
      <c r="C641" s="16"/>
    </row>
    <row r="642">
      <c r="A642" s="19"/>
      <c r="B642" s="19"/>
      <c r="C642" s="16"/>
    </row>
    <row r="643">
      <c r="A643" s="19"/>
      <c r="B643" s="19"/>
      <c r="C643" s="16"/>
    </row>
    <row r="644">
      <c r="A644" s="19"/>
      <c r="B644" s="19"/>
      <c r="C644" s="16"/>
    </row>
    <row r="645">
      <c r="A645" s="19"/>
      <c r="B645" s="19"/>
      <c r="C645" s="16"/>
    </row>
    <row r="646">
      <c r="A646" s="19"/>
      <c r="B646" s="19"/>
      <c r="C646" s="16"/>
    </row>
    <row r="647">
      <c r="A647" s="19"/>
      <c r="B647" s="19"/>
      <c r="C647" s="16"/>
    </row>
    <row r="648">
      <c r="A648" s="19"/>
      <c r="B648" s="19"/>
      <c r="C648" s="16"/>
    </row>
    <row r="649">
      <c r="A649" s="19"/>
      <c r="B649" s="19"/>
      <c r="C649" s="16"/>
    </row>
    <row r="650">
      <c r="A650" s="19"/>
      <c r="B650" s="19"/>
      <c r="C650" s="16"/>
    </row>
    <row r="651">
      <c r="A651" s="19"/>
      <c r="B651" s="19"/>
      <c r="C651" s="16"/>
    </row>
    <row r="652">
      <c r="A652" s="19"/>
      <c r="B652" s="19"/>
      <c r="C652" s="16"/>
    </row>
    <row r="653">
      <c r="A653" s="19"/>
      <c r="B653" s="19"/>
      <c r="C653" s="16"/>
    </row>
    <row r="654">
      <c r="A654" s="19"/>
      <c r="B654" s="19"/>
      <c r="C654" s="16"/>
    </row>
    <row r="655">
      <c r="A655" s="19"/>
      <c r="B655" s="19"/>
      <c r="C655" s="16"/>
    </row>
    <row r="656">
      <c r="A656" s="19"/>
      <c r="B656" s="19"/>
      <c r="C656" s="16"/>
    </row>
    <row r="657">
      <c r="A657" s="19"/>
      <c r="B657" s="19"/>
      <c r="C657" s="16"/>
    </row>
    <row r="658">
      <c r="A658" s="19"/>
      <c r="B658" s="19"/>
      <c r="C658" s="16"/>
    </row>
    <row r="659">
      <c r="A659" s="19"/>
      <c r="B659" s="19"/>
      <c r="C659" s="16"/>
    </row>
    <row r="660">
      <c r="A660" s="19"/>
      <c r="B660" s="19"/>
      <c r="C660" s="16"/>
    </row>
    <row r="661">
      <c r="A661" s="19"/>
      <c r="B661" s="19"/>
      <c r="C661" s="16"/>
    </row>
    <row r="662">
      <c r="A662" s="19"/>
      <c r="B662" s="19"/>
      <c r="C662" s="16"/>
    </row>
    <row r="663">
      <c r="A663" s="19"/>
      <c r="B663" s="19"/>
      <c r="C663" s="16"/>
    </row>
    <row r="664">
      <c r="A664" s="19"/>
      <c r="B664" s="19"/>
      <c r="C664" s="16"/>
    </row>
    <row r="665">
      <c r="A665" s="19"/>
      <c r="B665" s="19"/>
      <c r="C665" s="16"/>
    </row>
    <row r="666">
      <c r="A666" s="19"/>
      <c r="B666" s="19"/>
      <c r="C666" s="16"/>
    </row>
    <row r="667">
      <c r="A667" s="19"/>
      <c r="B667" s="19"/>
      <c r="C667" s="16"/>
    </row>
    <row r="668">
      <c r="A668" s="19"/>
      <c r="B668" s="19"/>
      <c r="C668" s="16"/>
    </row>
    <row r="669">
      <c r="A669" s="19"/>
      <c r="B669" s="19"/>
      <c r="C669" s="16"/>
    </row>
    <row r="670">
      <c r="A670" s="19"/>
      <c r="B670" s="19"/>
      <c r="C670" s="16"/>
    </row>
    <row r="671">
      <c r="A671" s="19"/>
      <c r="B671" s="19"/>
      <c r="C671" s="16"/>
    </row>
    <row r="672">
      <c r="A672" s="19"/>
      <c r="B672" s="19"/>
      <c r="C672" s="16"/>
    </row>
    <row r="673">
      <c r="A673" s="19"/>
      <c r="B673" s="19"/>
      <c r="C673" s="16"/>
    </row>
    <row r="674">
      <c r="A674" s="19"/>
      <c r="B674" s="19"/>
      <c r="C674" s="16"/>
    </row>
    <row r="675">
      <c r="A675" s="19"/>
      <c r="B675" s="19"/>
      <c r="C675" s="16"/>
    </row>
    <row r="676">
      <c r="A676" s="19"/>
      <c r="B676" s="19"/>
      <c r="C676" s="16"/>
    </row>
    <row r="677">
      <c r="A677" s="19"/>
      <c r="B677" s="19"/>
      <c r="C677" s="16"/>
    </row>
    <row r="678">
      <c r="A678" s="19"/>
      <c r="B678" s="19"/>
      <c r="C678" s="16"/>
    </row>
    <row r="679">
      <c r="A679" s="19"/>
      <c r="B679" s="19"/>
      <c r="C679" s="16"/>
    </row>
    <row r="680">
      <c r="A680" s="19"/>
      <c r="B680" s="19"/>
      <c r="C680" s="16"/>
    </row>
    <row r="681">
      <c r="A681" s="19"/>
      <c r="B681" s="19"/>
      <c r="C681" s="16"/>
    </row>
    <row r="682">
      <c r="A682" s="19"/>
      <c r="B682" s="19"/>
      <c r="C682" s="16"/>
    </row>
    <row r="683">
      <c r="A683" s="19"/>
      <c r="B683" s="19"/>
      <c r="C683" s="16"/>
    </row>
    <row r="684">
      <c r="A684" s="19"/>
      <c r="B684" s="19"/>
      <c r="C684" s="16"/>
    </row>
    <row r="685">
      <c r="A685" s="19"/>
      <c r="B685" s="19"/>
      <c r="C685" s="16"/>
    </row>
    <row r="686">
      <c r="A686" s="19"/>
      <c r="B686" s="19"/>
      <c r="C686" s="16"/>
    </row>
    <row r="687">
      <c r="A687" s="19"/>
      <c r="B687" s="19"/>
      <c r="C687" s="16"/>
    </row>
    <row r="688">
      <c r="A688" s="19"/>
      <c r="B688" s="19"/>
      <c r="C688" s="16"/>
    </row>
    <row r="689">
      <c r="A689" s="19"/>
      <c r="B689" s="19"/>
      <c r="C689" s="16"/>
    </row>
    <row r="690">
      <c r="A690" s="19"/>
      <c r="B690" s="19"/>
      <c r="C690" s="16"/>
    </row>
    <row r="691">
      <c r="A691" s="19"/>
      <c r="B691" s="19"/>
      <c r="C691" s="16"/>
    </row>
    <row r="692">
      <c r="A692" s="19"/>
      <c r="B692" s="19"/>
      <c r="C692" s="16"/>
    </row>
    <row r="693">
      <c r="A693" s="19"/>
      <c r="B693" s="19"/>
      <c r="C693" s="16"/>
    </row>
    <row r="694">
      <c r="A694" s="19"/>
      <c r="B694" s="19"/>
      <c r="C694" s="16"/>
    </row>
    <row r="695">
      <c r="A695" s="19"/>
      <c r="B695" s="19"/>
      <c r="C695" s="16"/>
    </row>
    <row r="696">
      <c r="A696" s="19"/>
      <c r="B696" s="19"/>
      <c r="C696" s="16"/>
    </row>
    <row r="697">
      <c r="A697" s="19"/>
      <c r="B697" s="19"/>
      <c r="C697" s="16"/>
    </row>
    <row r="698">
      <c r="A698" s="19"/>
      <c r="B698" s="19"/>
      <c r="C698" s="16"/>
    </row>
    <row r="699">
      <c r="A699" s="19"/>
      <c r="B699" s="19"/>
      <c r="C699" s="16"/>
    </row>
    <row r="700">
      <c r="A700" s="19"/>
      <c r="B700" s="19"/>
      <c r="C700" s="16"/>
    </row>
    <row r="701">
      <c r="A701" s="19"/>
      <c r="B701" s="19"/>
      <c r="C701" s="16"/>
    </row>
    <row r="702">
      <c r="A702" s="19"/>
      <c r="B702" s="19"/>
      <c r="C702" s="16"/>
    </row>
    <row r="703">
      <c r="A703" s="19"/>
      <c r="B703" s="19"/>
      <c r="C703" s="16"/>
    </row>
    <row r="704">
      <c r="A704" s="19"/>
      <c r="B704" s="19"/>
      <c r="C704" s="16"/>
    </row>
    <row r="705">
      <c r="A705" s="19"/>
      <c r="B705" s="19"/>
      <c r="C705" s="16"/>
    </row>
    <row r="706">
      <c r="A706" s="19"/>
      <c r="B706" s="19"/>
      <c r="C706" s="16"/>
    </row>
    <row r="707">
      <c r="A707" s="19"/>
      <c r="B707" s="19"/>
      <c r="C707" s="16"/>
    </row>
    <row r="708">
      <c r="A708" s="19"/>
      <c r="B708" s="19"/>
      <c r="C708" s="16"/>
    </row>
    <row r="709">
      <c r="A709" s="19"/>
      <c r="B709" s="19"/>
      <c r="C709" s="16"/>
    </row>
    <row r="710">
      <c r="A710" s="19"/>
      <c r="B710" s="19"/>
      <c r="C710" s="16"/>
    </row>
    <row r="711">
      <c r="A711" s="19"/>
      <c r="B711" s="19"/>
      <c r="C711" s="16"/>
    </row>
    <row r="712">
      <c r="A712" s="19"/>
      <c r="B712" s="19"/>
      <c r="C712" s="16"/>
    </row>
    <row r="713">
      <c r="A713" s="19"/>
      <c r="B713" s="19"/>
      <c r="C713" s="16"/>
    </row>
    <row r="714">
      <c r="A714" s="19"/>
      <c r="B714" s="19"/>
      <c r="C714" s="16"/>
    </row>
    <row r="715">
      <c r="A715" s="19"/>
      <c r="B715" s="19"/>
      <c r="C715" s="16"/>
    </row>
    <row r="716">
      <c r="A716" s="19"/>
      <c r="B716" s="19"/>
      <c r="C716" s="16"/>
    </row>
    <row r="717">
      <c r="A717" s="19"/>
      <c r="B717" s="19"/>
      <c r="C717" s="16"/>
    </row>
    <row r="718">
      <c r="A718" s="19"/>
      <c r="B718" s="19"/>
      <c r="C718" s="16"/>
    </row>
    <row r="719">
      <c r="A719" s="19"/>
      <c r="B719" s="19"/>
      <c r="C719" s="16"/>
    </row>
    <row r="720">
      <c r="A720" s="19"/>
      <c r="B720" s="19"/>
      <c r="C720" s="16"/>
    </row>
    <row r="721">
      <c r="A721" s="19"/>
      <c r="B721" s="19"/>
      <c r="C721" s="16"/>
    </row>
    <row r="722">
      <c r="A722" s="19"/>
      <c r="B722" s="19"/>
      <c r="C722" s="16"/>
    </row>
    <row r="723">
      <c r="A723" s="19"/>
      <c r="B723" s="19"/>
      <c r="C723" s="16"/>
    </row>
    <row r="724">
      <c r="A724" s="19"/>
      <c r="B724" s="19"/>
      <c r="C724" s="16"/>
    </row>
    <row r="725">
      <c r="A725" s="19"/>
      <c r="B725" s="19"/>
      <c r="C725" s="16"/>
    </row>
    <row r="726">
      <c r="A726" s="19"/>
      <c r="B726" s="19"/>
      <c r="C726" s="16"/>
    </row>
    <row r="727">
      <c r="A727" s="19"/>
      <c r="B727" s="19"/>
      <c r="C727" s="16"/>
    </row>
    <row r="728">
      <c r="A728" s="19"/>
      <c r="B728" s="19"/>
      <c r="C728" s="16"/>
    </row>
    <row r="729">
      <c r="A729" s="19"/>
      <c r="B729" s="19"/>
      <c r="C729" s="16"/>
    </row>
    <row r="730">
      <c r="A730" s="19"/>
      <c r="B730" s="19"/>
      <c r="C730" s="16"/>
    </row>
    <row r="731">
      <c r="A731" s="19"/>
      <c r="B731" s="19"/>
      <c r="C731" s="16"/>
    </row>
    <row r="732">
      <c r="A732" s="19"/>
      <c r="B732" s="19"/>
      <c r="C732" s="16"/>
    </row>
    <row r="733">
      <c r="A733" s="19"/>
      <c r="B733" s="19"/>
      <c r="C733" s="16"/>
    </row>
    <row r="734">
      <c r="A734" s="19"/>
      <c r="B734" s="19"/>
      <c r="C734" s="16"/>
    </row>
    <row r="735">
      <c r="A735" s="19"/>
      <c r="B735" s="19"/>
      <c r="C735" s="16"/>
    </row>
    <row r="736">
      <c r="A736" s="19"/>
      <c r="B736" s="19"/>
      <c r="C736" s="16"/>
    </row>
    <row r="737">
      <c r="A737" s="19"/>
      <c r="B737" s="19"/>
      <c r="C737" s="16"/>
    </row>
    <row r="738">
      <c r="A738" s="19"/>
      <c r="B738" s="19"/>
      <c r="C738" s="16"/>
    </row>
    <row r="739">
      <c r="A739" s="19"/>
      <c r="B739" s="19"/>
      <c r="C739" s="16"/>
    </row>
    <row r="740">
      <c r="A740" s="19"/>
      <c r="B740" s="19"/>
      <c r="C740" s="16"/>
    </row>
    <row r="741">
      <c r="A741" s="19"/>
      <c r="B741" s="19"/>
      <c r="C741" s="16"/>
    </row>
    <row r="742">
      <c r="A742" s="19"/>
      <c r="B742" s="19"/>
      <c r="C742" s="16"/>
    </row>
    <row r="743">
      <c r="A743" s="19"/>
      <c r="B743" s="19"/>
      <c r="C743" s="16"/>
    </row>
    <row r="744">
      <c r="A744" s="19"/>
      <c r="B744" s="19"/>
      <c r="C744" s="16"/>
    </row>
    <row r="745">
      <c r="A745" s="19"/>
      <c r="B745" s="19"/>
      <c r="C745" s="16"/>
    </row>
    <row r="746">
      <c r="A746" s="19"/>
      <c r="B746" s="19"/>
      <c r="C746" s="16"/>
    </row>
    <row r="747">
      <c r="A747" s="19"/>
      <c r="B747" s="19"/>
      <c r="C747" s="16"/>
    </row>
    <row r="748">
      <c r="A748" s="19"/>
      <c r="B748" s="19"/>
      <c r="C748" s="16"/>
    </row>
    <row r="749">
      <c r="A749" s="19"/>
      <c r="B749" s="19"/>
      <c r="C749" s="16"/>
    </row>
    <row r="750">
      <c r="A750" s="19"/>
      <c r="B750" s="19"/>
      <c r="C750" s="16"/>
    </row>
    <row r="751">
      <c r="A751" s="19"/>
      <c r="B751" s="19"/>
      <c r="C751" s="16"/>
    </row>
    <row r="752">
      <c r="A752" s="19"/>
      <c r="B752" s="19"/>
      <c r="C752" s="16"/>
    </row>
    <row r="753">
      <c r="A753" s="19"/>
      <c r="B753" s="19"/>
      <c r="C753" s="16"/>
    </row>
    <row r="754">
      <c r="A754" s="19"/>
      <c r="B754" s="19"/>
      <c r="C754" s="16"/>
    </row>
    <row r="755">
      <c r="A755" s="19"/>
      <c r="B755" s="19"/>
      <c r="C755" s="16"/>
    </row>
    <row r="756">
      <c r="A756" s="19"/>
      <c r="B756" s="19"/>
      <c r="C756" s="16"/>
    </row>
    <row r="757">
      <c r="A757" s="19"/>
      <c r="B757" s="19"/>
      <c r="C757" s="16"/>
    </row>
    <row r="758">
      <c r="A758" s="19"/>
      <c r="B758" s="19"/>
      <c r="C758" s="16"/>
    </row>
    <row r="759">
      <c r="A759" s="19"/>
      <c r="B759" s="19"/>
      <c r="C759" s="16"/>
    </row>
    <row r="760">
      <c r="A760" s="19"/>
      <c r="B760" s="19"/>
      <c r="C760" s="16"/>
    </row>
    <row r="761">
      <c r="A761" s="19"/>
      <c r="B761" s="19"/>
      <c r="C761" s="16"/>
    </row>
    <row r="762">
      <c r="A762" s="19"/>
      <c r="B762" s="19"/>
      <c r="C762" s="16"/>
    </row>
    <row r="763">
      <c r="A763" s="19"/>
      <c r="B763" s="19"/>
      <c r="C763" s="16"/>
    </row>
    <row r="764">
      <c r="A764" s="19"/>
      <c r="B764" s="19"/>
      <c r="C764" s="16"/>
    </row>
    <row r="765">
      <c r="A765" s="19"/>
      <c r="B765" s="19"/>
      <c r="C765" s="16"/>
    </row>
    <row r="766">
      <c r="A766" s="19"/>
      <c r="B766" s="19"/>
      <c r="C766" s="16"/>
    </row>
    <row r="767">
      <c r="A767" s="19"/>
      <c r="B767" s="19"/>
      <c r="C767" s="16"/>
    </row>
    <row r="768">
      <c r="A768" s="19"/>
      <c r="B768" s="19"/>
      <c r="C768" s="16"/>
    </row>
    <row r="769">
      <c r="A769" s="19"/>
      <c r="B769" s="19"/>
      <c r="C769" s="16"/>
    </row>
    <row r="770">
      <c r="A770" s="19"/>
      <c r="B770" s="19"/>
      <c r="C770" s="16"/>
    </row>
    <row r="771">
      <c r="A771" s="19"/>
      <c r="B771" s="19"/>
      <c r="C771" s="16"/>
    </row>
    <row r="772">
      <c r="A772" s="19"/>
      <c r="B772" s="19"/>
      <c r="C772" s="16"/>
    </row>
    <row r="773">
      <c r="A773" s="19"/>
      <c r="B773" s="19"/>
      <c r="C773" s="16"/>
    </row>
    <row r="774">
      <c r="A774" s="19"/>
      <c r="B774" s="19"/>
      <c r="C774" s="16"/>
    </row>
    <row r="775">
      <c r="A775" s="19"/>
      <c r="B775" s="19"/>
      <c r="C775" s="16"/>
    </row>
    <row r="776">
      <c r="A776" s="19"/>
      <c r="B776" s="19"/>
      <c r="C776" s="16"/>
    </row>
    <row r="777">
      <c r="A777" s="19"/>
      <c r="B777" s="19"/>
      <c r="C777" s="16"/>
    </row>
    <row r="778">
      <c r="A778" s="19"/>
      <c r="B778" s="19"/>
      <c r="C778" s="16"/>
    </row>
    <row r="779">
      <c r="A779" s="19"/>
      <c r="B779" s="19"/>
      <c r="C779" s="16"/>
    </row>
    <row r="780">
      <c r="A780" s="19"/>
      <c r="B780" s="19"/>
      <c r="C780" s="16"/>
    </row>
    <row r="781">
      <c r="A781" s="19"/>
      <c r="B781" s="19"/>
      <c r="C781" s="16"/>
    </row>
    <row r="782">
      <c r="A782" s="19"/>
      <c r="B782" s="19"/>
      <c r="C782" s="16"/>
    </row>
    <row r="783">
      <c r="A783" s="19"/>
      <c r="B783" s="19"/>
      <c r="C783" s="16"/>
    </row>
    <row r="784">
      <c r="A784" s="19"/>
      <c r="B784" s="19"/>
      <c r="C784" s="16"/>
    </row>
    <row r="785">
      <c r="A785" s="19"/>
      <c r="B785" s="19"/>
      <c r="C785" s="16"/>
    </row>
    <row r="786">
      <c r="A786" s="19"/>
      <c r="B786" s="19"/>
      <c r="C786" s="16"/>
    </row>
    <row r="787">
      <c r="A787" s="19"/>
      <c r="B787" s="19"/>
      <c r="C787" s="16"/>
    </row>
    <row r="788">
      <c r="A788" s="19"/>
      <c r="B788" s="19"/>
      <c r="C788" s="16"/>
    </row>
    <row r="789">
      <c r="A789" s="19"/>
      <c r="B789" s="19"/>
      <c r="C789" s="16"/>
    </row>
    <row r="790">
      <c r="A790" s="19"/>
      <c r="B790" s="19"/>
      <c r="C790" s="16"/>
    </row>
    <row r="791">
      <c r="A791" s="19"/>
      <c r="B791" s="19"/>
      <c r="C791" s="16"/>
    </row>
    <row r="792">
      <c r="A792" s="19"/>
      <c r="B792" s="19"/>
      <c r="C792" s="16"/>
    </row>
    <row r="793">
      <c r="A793" s="19"/>
      <c r="B793" s="19"/>
      <c r="C793" s="16"/>
    </row>
    <row r="794">
      <c r="A794" s="19"/>
      <c r="B794" s="19"/>
      <c r="C794" s="16"/>
    </row>
    <row r="795">
      <c r="A795" s="19"/>
      <c r="B795" s="19"/>
      <c r="C795" s="16"/>
    </row>
    <row r="796">
      <c r="A796" s="19"/>
      <c r="B796" s="19"/>
      <c r="C796" s="16"/>
    </row>
    <row r="797">
      <c r="A797" s="19"/>
      <c r="B797" s="19"/>
      <c r="C797" s="16"/>
    </row>
    <row r="798">
      <c r="A798" s="19"/>
      <c r="B798" s="19"/>
      <c r="C798" s="16"/>
    </row>
    <row r="799">
      <c r="A799" s="19"/>
      <c r="B799" s="19"/>
      <c r="C799" s="16"/>
    </row>
    <row r="800">
      <c r="A800" s="19"/>
      <c r="B800" s="19"/>
      <c r="C800" s="16"/>
    </row>
    <row r="801">
      <c r="A801" s="19"/>
      <c r="B801" s="19"/>
      <c r="C801" s="16"/>
    </row>
    <row r="802">
      <c r="A802" s="19"/>
      <c r="B802" s="19"/>
      <c r="C802" s="16"/>
    </row>
    <row r="803">
      <c r="A803" s="19"/>
      <c r="B803" s="19"/>
      <c r="C803" s="16"/>
    </row>
    <row r="804">
      <c r="A804" s="19"/>
      <c r="B804" s="19"/>
      <c r="C804" s="16"/>
    </row>
    <row r="805">
      <c r="A805" s="19"/>
      <c r="B805" s="19"/>
      <c r="C805" s="16"/>
    </row>
    <row r="806">
      <c r="A806" s="19"/>
      <c r="B806" s="19"/>
      <c r="C806" s="16"/>
    </row>
    <row r="807">
      <c r="A807" s="19"/>
      <c r="B807" s="19"/>
      <c r="C807" s="16"/>
    </row>
    <row r="808">
      <c r="A808" s="19"/>
      <c r="B808" s="19"/>
      <c r="C808" s="16"/>
    </row>
    <row r="809">
      <c r="A809" s="19"/>
      <c r="B809" s="19"/>
      <c r="C809" s="16"/>
    </row>
    <row r="810">
      <c r="A810" s="19"/>
      <c r="B810" s="19"/>
      <c r="C810" s="16"/>
    </row>
    <row r="811">
      <c r="A811" s="19"/>
      <c r="B811" s="19"/>
      <c r="C811" s="16"/>
    </row>
    <row r="812">
      <c r="A812" s="19"/>
      <c r="B812" s="19"/>
      <c r="C812" s="16"/>
    </row>
    <row r="813">
      <c r="A813" s="19"/>
      <c r="B813" s="19"/>
      <c r="C813" s="16"/>
    </row>
    <row r="814">
      <c r="A814" s="19"/>
      <c r="B814" s="19"/>
      <c r="C814" s="16"/>
    </row>
    <row r="815">
      <c r="A815" s="19"/>
      <c r="B815" s="19"/>
      <c r="C815" s="16"/>
    </row>
    <row r="816">
      <c r="A816" s="19"/>
      <c r="B816" s="19"/>
      <c r="C816" s="16"/>
    </row>
    <row r="817">
      <c r="A817" s="19"/>
      <c r="B817" s="19"/>
      <c r="C817" s="16"/>
    </row>
    <row r="818">
      <c r="A818" s="19"/>
      <c r="B818" s="19"/>
      <c r="C818" s="16"/>
    </row>
    <row r="819">
      <c r="A819" s="19"/>
      <c r="B819" s="19"/>
      <c r="C819" s="16"/>
    </row>
    <row r="820">
      <c r="A820" s="19"/>
      <c r="B820" s="19"/>
      <c r="C820" s="16"/>
    </row>
    <row r="821">
      <c r="A821" s="19"/>
      <c r="B821" s="19"/>
      <c r="C821" s="16"/>
    </row>
    <row r="822">
      <c r="A822" s="19"/>
      <c r="B822" s="19"/>
      <c r="C822" s="16"/>
    </row>
    <row r="823">
      <c r="A823" s="19"/>
      <c r="B823" s="19"/>
      <c r="C823" s="16"/>
    </row>
    <row r="824">
      <c r="A824" s="19"/>
      <c r="B824" s="19"/>
      <c r="C824" s="16"/>
    </row>
    <row r="825">
      <c r="A825" s="19"/>
      <c r="B825" s="19"/>
      <c r="C825" s="16"/>
    </row>
    <row r="826">
      <c r="A826" s="19"/>
      <c r="B826" s="19"/>
      <c r="C826" s="16"/>
    </row>
    <row r="827">
      <c r="A827" s="19"/>
      <c r="B827" s="19"/>
      <c r="C827" s="16"/>
    </row>
    <row r="828">
      <c r="A828" s="19"/>
      <c r="B828" s="19"/>
      <c r="C828" s="16"/>
    </row>
    <row r="829">
      <c r="A829" s="19"/>
      <c r="B829" s="19"/>
      <c r="C829" s="16"/>
    </row>
    <row r="830">
      <c r="A830" s="19"/>
      <c r="B830" s="19"/>
      <c r="C830" s="16"/>
    </row>
    <row r="831">
      <c r="A831" s="19"/>
      <c r="B831" s="19"/>
      <c r="C831" s="16"/>
    </row>
    <row r="832">
      <c r="A832" s="19"/>
      <c r="B832" s="19"/>
      <c r="C832" s="16"/>
    </row>
    <row r="833">
      <c r="A833" s="19"/>
      <c r="B833" s="19"/>
      <c r="C833" s="16"/>
    </row>
    <row r="834">
      <c r="A834" s="19"/>
      <c r="B834" s="19"/>
      <c r="C834" s="16"/>
    </row>
    <row r="835">
      <c r="A835" s="19"/>
      <c r="B835" s="19"/>
      <c r="C835" s="16"/>
    </row>
    <row r="836">
      <c r="A836" s="19"/>
      <c r="B836" s="19"/>
      <c r="C836" s="16"/>
    </row>
    <row r="837">
      <c r="A837" s="19"/>
      <c r="B837" s="19"/>
      <c r="C837" s="16"/>
    </row>
    <row r="838">
      <c r="A838" s="19"/>
      <c r="B838" s="19"/>
      <c r="C838" s="16"/>
    </row>
    <row r="839">
      <c r="A839" s="19"/>
      <c r="B839" s="19"/>
      <c r="C839" s="16"/>
    </row>
    <row r="840">
      <c r="A840" s="19"/>
      <c r="B840" s="19"/>
      <c r="C840" s="16"/>
    </row>
    <row r="841">
      <c r="A841" s="19"/>
      <c r="B841" s="19"/>
      <c r="C841" s="16"/>
    </row>
    <row r="842">
      <c r="A842" s="19"/>
      <c r="B842" s="19"/>
      <c r="C842" s="16"/>
    </row>
    <row r="843">
      <c r="A843" s="19"/>
      <c r="B843" s="19"/>
      <c r="C843" s="16"/>
    </row>
    <row r="844">
      <c r="A844" s="19"/>
      <c r="B844" s="19"/>
      <c r="C844" s="16"/>
    </row>
    <row r="845">
      <c r="A845" s="19"/>
      <c r="B845" s="19"/>
      <c r="C845" s="16"/>
    </row>
    <row r="846">
      <c r="A846" s="19"/>
      <c r="B846" s="19"/>
      <c r="C846" s="16"/>
    </row>
    <row r="847">
      <c r="A847" s="19"/>
      <c r="B847" s="19"/>
      <c r="C847" s="16"/>
    </row>
    <row r="848">
      <c r="A848" s="19"/>
      <c r="B848" s="19"/>
      <c r="C848" s="16"/>
    </row>
    <row r="849">
      <c r="A849" s="19"/>
      <c r="B849" s="19"/>
      <c r="C849" s="16"/>
    </row>
    <row r="850">
      <c r="A850" s="19"/>
      <c r="B850" s="19"/>
      <c r="C850" s="16"/>
    </row>
    <row r="851">
      <c r="A851" s="19"/>
      <c r="B851" s="19"/>
      <c r="C851" s="16"/>
    </row>
    <row r="852">
      <c r="A852" s="19"/>
      <c r="B852" s="19"/>
      <c r="C852" s="16"/>
    </row>
    <row r="853">
      <c r="A853" s="19"/>
      <c r="B853" s="19"/>
      <c r="C853" s="16"/>
    </row>
    <row r="854">
      <c r="A854" s="19"/>
      <c r="B854" s="19"/>
      <c r="C854" s="16"/>
    </row>
    <row r="855">
      <c r="A855" s="19"/>
      <c r="B855" s="19"/>
      <c r="C855" s="16"/>
    </row>
    <row r="856">
      <c r="A856" s="19"/>
      <c r="B856" s="19"/>
      <c r="C856" s="16"/>
    </row>
    <row r="857">
      <c r="A857" s="19"/>
      <c r="B857" s="19"/>
      <c r="C857" s="16"/>
    </row>
    <row r="858">
      <c r="A858" s="19"/>
      <c r="B858" s="19"/>
      <c r="C858" s="16"/>
    </row>
    <row r="859">
      <c r="A859" s="19"/>
      <c r="B859" s="19"/>
      <c r="C859" s="16"/>
    </row>
    <row r="860">
      <c r="A860" s="19"/>
      <c r="B860" s="19"/>
      <c r="C860" s="16"/>
    </row>
    <row r="861">
      <c r="A861" s="19"/>
      <c r="B861" s="19"/>
      <c r="C861" s="16"/>
    </row>
    <row r="862">
      <c r="A862" s="19"/>
      <c r="B862" s="19"/>
      <c r="C862" s="16"/>
    </row>
    <row r="863">
      <c r="A863" s="19"/>
      <c r="B863" s="19"/>
      <c r="C863" s="16"/>
    </row>
    <row r="864">
      <c r="A864" s="19"/>
      <c r="B864" s="19"/>
      <c r="C864" s="16"/>
    </row>
    <row r="865">
      <c r="A865" s="19"/>
      <c r="B865" s="19"/>
      <c r="C865" s="16"/>
    </row>
    <row r="866">
      <c r="A866" s="19"/>
      <c r="B866" s="19"/>
      <c r="C866" s="16"/>
    </row>
    <row r="867">
      <c r="A867" s="19"/>
      <c r="B867" s="19"/>
      <c r="C867" s="16"/>
    </row>
    <row r="868">
      <c r="A868" s="19"/>
      <c r="B868" s="19"/>
      <c r="C868" s="16"/>
    </row>
    <row r="869">
      <c r="A869" s="19"/>
      <c r="B869" s="19"/>
      <c r="C869" s="16"/>
    </row>
    <row r="870">
      <c r="A870" s="19"/>
      <c r="B870" s="19"/>
      <c r="C870" s="16"/>
    </row>
    <row r="871">
      <c r="A871" s="19"/>
      <c r="B871" s="19"/>
      <c r="C871" s="16"/>
    </row>
    <row r="872">
      <c r="A872" s="19"/>
      <c r="B872" s="19"/>
      <c r="C872" s="16"/>
    </row>
    <row r="873">
      <c r="A873" s="19"/>
      <c r="B873" s="19"/>
      <c r="C873" s="16"/>
    </row>
    <row r="874">
      <c r="A874" s="19"/>
      <c r="B874" s="19"/>
      <c r="C874" s="16"/>
    </row>
    <row r="875">
      <c r="A875" s="19"/>
      <c r="B875" s="19"/>
      <c r="C875" s="16"/>
    </row>
    <row r="876">
      <c r="A876" s="19"/>
      <c r="B876" s="19"/>
      <c r="C876" s="16"/>
    </row>
    <row r="877">
      <c r="A877" s="19"/>
      <c r="B877" s="19"/>
      <c r="C877" s="16"/>
    </row>
    <row r="878">
      <c r="A878" s="19"/>
      <c r="B878" s="19"/>
      <c r="C878" s="16"/>
    </row>
    <row r="879">
      <c r="A879" s="19"/>
      <c r="B879" s="19"/>
      <c r="C879" s="16"/>
    </row>
    <row r="880">
      <c r="A880" s="19"/>
      <c r="B880" s="19"/>
      <c r="C880" s="16"/>
    </row>
    <row r="881">
      <c r="A881" s="19"/>
      <c r="B881" s="19"/>
      <c r="C881" s="16"/>
    </row>
    <row r="882">
      <c r="A882" s="19"/>
      <c r="B882" s="19"/>
      <c r="C882" s="16"/>
    </row>
    <row r="883">
      <c r="A883" s="19"/>
      <c r="B883" s="19"/>
      <c r="C883" s="16"/>
    </row>
    <row r="884">
      <c r="A884" s="19"/>
      <c r="B884" s="19"/>
      <c r="C884" s="16"/>
    </row>
    <row r="885">
      <c r="A885" s="19"/>
      <c r="B885" s="19"/>
      <c r="C885" s="16"/>
    </row>
    <row r="886">
      <c r="A886" s="19"/>
      <c r="B886" s="19"/>
      <c r="C886" s="16"/>
    </row>
    <row r="887">
      <c r="A887" s="19"/>
      <c r="B887" s="19"/>
      <c r="C887" s="16"/>
    </row>
    <row r="888">
      <c r="A888" s="19"/>
      <c r="B888" s="19"/>
      <c r="C888" s="16"/>
    </row>
    <row r="889">
      <c r="A889" s="19"/>
      <c r="B889" s="19"/>
      <c r="C889" s="16"/>
    </row>
    <row r="890">
      <c r="A890" s="19"/>
      <c r="B890" s="19"/>
      <c r="C890" s="16"/>
    </row>
    <row r="891">
      <c r="A891" s="19"/>
      <c r="B891" s="19"/>
      <c r="C891" s="16"/>
    </row>
    <row r="892">
      <c r="A892" s="19"/>
      <c r="B892" s="19"/>
      <c r="C892" s="16"/>
    </row>
    <row r="893">
      <c r="A893" s="19"/>
      <c r="B893" s="19"/>
      <c r="C893" s="16"/>
    </row>
    <row r="894">
      <c r="A894" s="19"/>
      <c r="B894" s="19"/>
      <c r="C894" s="16"/>
    </row>
    <row r="895">
      <c r="A895" s="19"/>
      <c r="B895" s="19"/>
      <c r="C895" s="16"/>
    </row>
    <row r="896">
      <c r="A896" s="19"/>
      <c r="B896" s="19"/>
      <c r="C896" s="16"/>
    </row>
    <row r="897">
      <c r="A897" s="19"/>
      <c r="B897" s="19"/>
      <c r="C897" s="16"/>
    </row>
    <row r="898">
      <c r="A898" s="19"/>
      <c r="B898" s="19"/>
      <c r="C898" s="16"/>
    </row>
    <row r="899">
      <c r="A899" s="19"/>
      <c r="B899" s="19"/>
      <c r="C899" s="16"/>
    </row>
    <row r="900">
      <c r="A900" s="19"/>
      <c r="B900" s="19"/>
      <c r="C900" s="16"/>
    </row>
    <row r="901">
      <c r="A901" s="19"/>
      <c r="B901" s="19"/>
      <c r="C901" s="16"/>
    </row>
    <row r="902">
      <c r="A902" s="19"/>
      <c r="B902" s="19"/>
      <c r="C902" s="16"/>
    </row>
    <row r="903">
      <c r="A903" s="19"/>
      <c r="B903" s="19"/>
      <c r="C903" s="16"/>
    </row>
    <row r="904">
      <c r="A904" s="19"/>
      <c r="B904" s="19"/>
      <c r="C904" s="16"/>
    </row>
    <row r="905">
      <c r="A905" s="19"/>
      <c r="B905" s="19"/>
      <c r="C905" s="16"/>
    </row>
    <row r="906">
      <c r="A906" s="19"/>
      <c r="B906" s="19"/>
      <c r="C906" s="16"/>
    </row>
    <row r="907">
      <c r="A907" s="19"/>
      <c r="B907" s="19"/>
      <c r="C907" s="16"/>
    </row>
    <row r="908">
      <c r="A908" s="19"/>
      <c r="B908" s="19"/>
      <c r="C908" s="16"/>
    </row>
    <row r="909">
      <c r="A909" s="19"/>
      <c r="B909" s="19"/>
      <c r="C909" s="16"/>
    </row>
    <row r="910">
      <c r="A910" s="19"/>
      <c r="B910" s="19"/>
      <c r="C910" s="16"/>
    </row>
    <row r="911">
      <c r="A911" s="19"/>
      <c r="B911" s="19"/>
      <c r="C911" s="16"/>
    </row>
    <row r="912">
      <c r="A912" s="19"/>
      <c r="B912" s="19"/>
      <c r="C912" s="16"/>
    </row>
    <row r="913">
      <c r="A913" s="19"/>
      <c r="B913" s="19"/>
      <c r="C913" s="16"/>
    </row>
    <row r="914">
      <c r="A914" s="19"/>
      <c r="B914" s="19"/>
      <c r="C914" s="16"/>
    </row>
    <row r="915">
      <c r="A915" s="19"/>
      <c r="B915" s="19"/>
      <c r="C915" s="16"/>
    </row>
    <row r="916">
      <c r="A916" s="19"/>
      <c r="B916" s="19"/>
      <c r="C916" s="16"/>
    </row>
    <row r="917">
      <c r="A917" s="19"/>
      <c r="B917" s="19"/>
      <c r="C917" s="16"/>
    </row>
    <row r="918">
      <c r="A918" s="19"/>
      <c r="B918" s="19"/>
      <c r="C918" s="16"/>
    </row>
    <row r="919">
      <c r="A919" s="19"/>
      <c r="B919" s="19"/>
      <c r="C919" s="16"/>
    </row>
    <row r="920">
      <c r="A920" s="19"/>
      <c r="B920" s="19"/>
      <c r="C920" s="16"/>
    </row>
    <row r="921">
      <c r="A921" s="19"/>
      <c r="B921" s="19"/>
      <c r="C921" s="16"/>
    </row>
    <row r="922">
      <c r="A922" s="19"/>
      <c r="B922" s="19"/>
      <c r="C922" s="16"/>
    </row>
    <row r="923">
      <c r="A923" s="19"/>
      <c r="B923" s="19"/>
      <c r="C923" s="16"/>
    </row>
    <row r="924">
      <c r="A924" s="19"/>
      <c r="B924" s="19"/>
      <c r="C924" s="16"/>
    </row>
    <row r="925">
      <c r="A925" s="19"/>
      <c r="B925" s="19"/>
      <c r="C925" s="16"/>
    </row>
    <row r="926">
      <c r="A926" s="19"/>
      <c r="B926" s="19"/>
      <c r="C926" s="16"/>
    </row>
    <row r="927">
      <c r="A927" s="19"/>
      <c r="B927" s="19"/>
      <c r="C927" s="16"/>
    </row>
    <row r="928">
      <c r="A928" s="19"/>
      <c r="B928" s="19"/>
      <c r="C928" s="16"/>
    </row>
    <row r="929">
      <c r="A929" s="19"/>
      <c r="B929" s="19"/>
      <c r="C929" s="16"/>
    </row>
    <row r="930">
      <c r="A930" s="19"/>
      <c r="B930" s="19"/>
      <c r="C930" s="16"/>
    </row>
    <row r="931">
      <c r="A931" s="19"/>
      <c r="B931" s="19"/>
      <c r="C931" s="16"/>
    </row>
    <row r="932">
      <c r="A932" s="19"/>
      <c r="B932" s="19"/>
      <c r="C932" s="16"/>
    </row>
    <row r="933">
      <c r="A933" s="19"/>
      <c r="B933" s="19"/>
      <c r="C933" s="16"/>
    </row>
    <row r="934">
      <c r="A934" s="19"/>
      <c r="B934" s="19"/>
      <c r="C934" s="16"/>
    </row>
    <row r="935">
      <c r="A935" s="19"/>
      <c r="B935" s="19"/>
      <c r="C935" s="16"/>
    </row>
    <row r="936">
      <c r="A936" s="19"/>
      <c r="B936" s="19"/>
      <c r="C936" s="16"/>
    </row>
    <row r="937">
      <c r="A937" s="19"/>
      <c r="B937" s="19"/>
      <c r="C937" s="16"/>
    </row>
    <row r="938">
      <c r="A938" s="19"/>
      <c r="B938" s="19"/>
      <c r="C938" s="16"/>
    </row>
    <row r="939">
      <c r="A939" s="19"/>
      <c r="B939" s="19"/>
      <c r="C939" s="16"/>
    </row>
    <row r="940">
      <c r="A940" s="19"/>
      <c r="B940" s="19"/>
      <c r="C940" s="16"/>
    </row>
    <row r="941">
      <c r="A941" s="19"/>
      <c r="B941" s="19"/>
      <c r="C941" s="16"/>
    </row>
    <row r="942">
      <c r="A942" s="19"/>
      <c r="B942" s="19"/>
      <c r="C942" s="16"/>
    </row>
    <row r="943">
      <c r="A943" s="19"/>
      <c r="B943" s="19"/>
      <c r="C943" s="16"/>
    </row>
    <row r="944">
      <c r="A944" s="19"/>
      <c r="B944" s="19"/>
      <c r="C944" s="16"/>
    </row>
    <row r="945">
      <c r="A945" s="19"/>
      <c r="B945" s="19"/>
      <c r="C945" s="16"/>
    </row>
    <row r="946">
      <c r="A946" s="19"/>
      <c r="B946" s="19"/>
      <c r="C946" s="16"/>
    </row>
    <row r="947">
      <c r="A947" s="19"/>
      <c r="B947" s="19"/>
      <c r="C947" s="16"/>
    </row>
    <row r="948">
      <c r="A948" s="19"/>
      <c r="B948" s="19"/>
      <c r="C948" s="16"/>
    </row>
    <row r="949">
      <c r="A949" s="19"/>
      <c r="B949" s="19"/>
      <c r="C949" s="16"/>
    </row>
    <row r="950">
      <c r="A950" s="19"/>
      <c r="B950" s="19"/>
      <c r="C950" s="16"/>
    </row>
    <row r="951">
      <c r="A951" s="19"/>
      <c r="B951" s="19"/>
      <c r="C951" s="16"/>
    </row>
    <row r="952">
      <c r="A952" s="19"/>
      <c r="B952" s="19"/>
      <c r="C952" s="16"/>
    </row>
    <row r="953">
      <c r="A953" s="19"/>
      <c r="B953" s="19"/>
      <c r="C953" s="16"/>
    </row>
    <row r="954">
      <c r="A954" s="19"/>
      <c r="B954" s="19"/>
      <c r="C954" s="16"/>
    </row>
    <row r="955">
      <c r="A955" s="19"/>
      <c r="B955" s="19"/>
      <c r="C955" s="16"/>
    </row>
    <row r="956">
      <c r="A956" s="19"/>
      <c r="B956" s="19"/>
      <c r="C956" s="16"/>
    </row>
    <row r="957">
      <c r="A957" s="19"/>
      <c r="B957" s="19"/>
      <c r="C957" s="16"/>
    </row>
    <row r="958">
      <c r="A958" s="19"/>
      <c r="B958" s="19"/>
      <c r="C958" s="16"/>
    </row>
    <row r="959">
      <c r="A959" s="19"/>
      <c r="B959" s="19"/>
      <c r="C959" s="16"/>
    </row>
    <row r="960">
      <c r="A960" s="19"/>
      <c r="B960" s="19"/>
      <c r="C960" s="16"/>
    </row>
    <row r="961">
      <c r="A961" s="19"/>
      <c r="B961" s="19"/>
      <c r="C961" s="16"/>
    </row>
    <row r="962">
      <c r="A962" s="19"/>
      <c r="B962" s="19"/>
      <c r="C962" s="16"/>
    </row>
    <row r="963">
      <c r="A963" s="19"/>
      <c r="B963" s="19"/>
      <c r="C963" s="16"/>
    </row>
    <row r="964">
      <c r="A964" s="19"/>
      <c r="B964" s="19"/>
      <c r="C964" s="16"/>
    </row>
    <row r="965">
      <c r="A965" s="19"/>
      <c r="B965" s="19"/>
      <c r="C965" s="16"/>
    </row>
    <row r="966">
      <c r="A966" s="19"/>
      <c r="B966" s="19"/>
      <c r="C966" s="16"/>
    </row>
    <row r="967">
      <c r="A967" s="19"/>
      <c r="B967" s="19"/>
      <c r="C967" s="16"/>
    </row>
    <row r="968">
      <c r="A968" s="19"/>
      <c r="B968" s="19"/>
      <c r="C968" s="16"/>
    </row>
    <row r="969">
      <c r="A969" s="19"/>
      <c r="B969" s="19"/>
      <c r="C969" s="16"/>
    </row>
    <row r="970">
      <c r="A970" s="19"/>
      <c r="B970" s="19"/>
      <c r="C970" s="16"/>
    </row>
    <row r="971">
      <c r="A971" s="19"/>
      <c r="B971" s="19"/>
      <c r="C971" s="16"/>
    </row>
    <row r="972">
      <c r="A972" s="19"/>
      <c r="B972" s="19"/>
      <c r="C972" s="16"/>
    </row>
    <row r="973">
      <c r="A973" s="19"/>
      <c r="B973" s="19"/>
      <c r="C973" s="16"/>
    </row>
    <row r="974">
      <c r="A974" s="19"/>
      <c r="B974" s="19"/>
      <c r="C974" s="16"/>
    </row>
    <row r="975">
      <c r="A975" s="19"/>
      <c r="B975" s="19"/>
      <c r="C975" s="16"/>
    </row>
    <row r="976">
      <c r="A976" s="19"/>
      <c r="B976" s="19"/>
      <c r="C976" s="16"/>
    </row>
    <row r="977">
      <c r="A977" s="19"/>
      <c r="B977" s="19"/>
      <c r="C977" s="16"/>
    </row>
    <row r="978">
      <c r="A978" s="19"/>
      <c r="B978" s="19"/>
      <c r="C978" s="16"/>
    </row>
    <row r="979">
      <c r="A979" s="19"/>
      <c r="B979" s="19"/>
      <c r="C979" s="16"/>
    </row>
    <row r="980">
      <c r="A980" s="19"/>
      <c r="B980" s="19"/>
      <c r="C980" s="16"/>
    </row>
    <row r="981">
      <c r="A981" s="19"/>
      <c r="B981" s="19"/>
      <c r="C981" s="16"/>
    </row>
    <row r="982">
      <c r="A982" s="19"/>
      <c r="B982" s="19"/>
      <c r="C982" s="16"/>
    </row>
    <row r="983">
      <c r="A983" s="19"/>
      <c r="B983" s="19"/>
      <c r="C983" s="16"/>
    </row>
    <row r="984">
      <c r="A984" s="19"/>
      <c r="B984" s="19"/>
      <c r="C984" s="16"/>
    </row>
    <row r="985">
      <c r="A985" s="19"/>
      <c r="B985" s="19"/>
      <c r="C985" s="16"/>
    </row>
    <row r="986">
      <c r="A986" s="19"/>
      <c r="B986" s="19"/>
      <c r="C986" s="16"/>
    </row>
    <row r="987">
      <c r="A987" s="19"/>
      <c r="B987" s="19"/>
      <c r="C987" s="16"/>
    </row>
    <row r="988">
      <c r="A988" s="19"/>
      <c r="B988" s="19"/>
      <c r="C988" s="16"/>
    </row>
    <row r="989">
      <c r="A989" s="19"/>
      <c r="B989" s="19"/>
      <c r="C989" s="16"/>
    </row>
    <row r="990">
      <c r="A990" s="19"/>
      <c r="B990" s="19"/>
      <c r="C990" s="16"/>
    </row>
    <row r="991">
      <c r="A991" s="19"/>
      <c r="B991" s="19"/>
      <c r="C991" s="16"/>
    </row>
    <row r="992">
      <c r="A992" s="19"/>
      <c r="B992" s="19"/>
      <c r="C992" s="16"/>
    </row>
    <row r="993">
      <c r="A993" s="19"/>
      <c r="B993" s="19"/>
      <c r="C993" s="16"/>
    </row>
    <row r="994">
      <c r="A994" s="19"/>
      <c r="B994" s="19"/>
      <c r="C994" s="16"/>
    </row>
    <row r="995">
      <c r="A995" s="19"/>
      <c r="B995" s="19"/>
      <c r="C995" s="16"/>
    </row>
    <row r="996">
      <c r="A996" s="19"/>
      <c r="B996" s="19"/>
      <c r="C996" s="16"/>
    </row>
    <row r="997">
      <c r="A997" s="19"/>
      <c r="B997" s="19"/>
      <c r="C997" s="16"/>
    </row>
    <row r="998">
      <c r="A998" s="19"/>
      <c r="B998" s="19"/>
      <c r="C998" s="16"/>
    </row>
    <row r="999">
      <c r="A999" s="19"/>
      <c r="B999" s="19"/>
      <c r="C999" s="16"/>
    </row>
    <row r="1000">
      <c r="A1000" s="19"/>
      <c r="B1000" s="19"/>
      <c r="C1000" s="16"/>
    </row>
    <row r="1001">
      <c r="A1001" s="19"/>
      <c r="B1001" s="19"/>
      <c r="C1001" s="16"/>
    </row>
    <row r="1002">
      <c r="A1002" s="19"/>
      <c r="B1002" s="19"/>
      <c r="C1002" s="16"/>
    </row>
    <row r="1003">
      <c r="A1003" s="19"/>
      <c r="B1003" s="19"/>
      <c r="C1003" s="16"/>
    </row>
    <row r="1004">
      <c r="A1004" s="19"/>
      <c r="B1004" s="19"/>
      <c r="C1004" s="16"/>
    </row>
    <row r="1005">
      <c r="A1005" s="19"/>
      <c r="B1005" s="19"/>
      <c r="C1005" s="16"/>
    </row>
    <row r="1006">
      <c r="A1006" s="19"/>
      <c r="B1006" s="19"/>
      <c r="C1006" s="16"/>
    </row>
    <row r="1007">
      <c r="A1007" s="19"/>
      <c r="B1007" s="19"/>
      <c r="C1007" s="16"/>
    </row>
    <row r="1008">
      <c r="A1008" s="19"/>
      <c r="B1008" s="19"/>
      <c r="C1008" s="16"/>
    </row>
    <row r="1009">
      <c r="A1009" s="19"/>
      <c r="B1009" s="19"/>
      <c r="C1009" s="16"/>
    </row>
    <row r="1010">
      <c r="A1010" s="19"/>
      <c r="B1010" s="19"/>
      <c r="C1010" s="16"/>
    </row>
    <row r="1011">
      <c r="A1011" s="19"/>
      <c r="B1011" s="19"/>
      <c r="C1011" s="16"/>
    </row>
    <row r="1012">
      <c r="A1012" s="19"/>
      <c r="B1012" s="19"/>
      <c r="C1012" s="16"/>
    </row>
    <row r="1013">
      <c r="A1013" s="19"/>
      <c r="B1013" s="19"/>
      <c r="C1013" s="16"/>
    </row>
    <row r="1014">
      <c r="A1014" s="19"/>
      <c r="B1014" s="19"/>
      <c r="C1014" s="16"/>
    </row>
    <row r="1015">
      <c r="A1015" s="19"/>
      <c r="B1015" s="19"/>
      <c r="C1015" s="16"/>
    </row>
    <row r="1016">
      <c r="A1016" s="19"/>
      <c r="B1016" s="19"/>
      <c r="C1016" s="16"/>
    </row>
    <row r="1017">
      <c r="A1017" s="19"/>
      <c r="B1017" s="19"/>
      <c r="C1017" s="16"/>
    </row>
    <row r="1018">
      <c r="A1018" s="19"/>
      <c r="B1018" s="19"/>
      <c r="C1018" s="16"/>
    </row>
    <row r="1019">
      <c r="A1019" s="19"/>
      <c r="B1019" s="19"/>
      <c r="C1019" s="16"/>
    </row>
    <row r="1020">
      <c r="A1020" s="19"/>
      <c r="B1020" s="19"/>
      <c r="C1020" s="16"/>
    </row>
    <row r="1021">
      <c r="A1021" s="19"/>
      <c r="B1021" s="19"/>
      <c r="C1021" s="16"/>
    </row>
    <row r="1022">
      <c r="A1022" s="19"/>
      <c r="B1022" s="19"/>
      <c r="C1022" s="16"/>
    </row>
    <row r="1023">
      <c r="A1023" s="19"/>
      <c r="B1023" s="19"/>
      <c r="C1023" s="16"/>
    </row>
    <row r="1024">
      <c r="A1024" s="19"/>
      <c r="B1024" s="19"/>
      <c r="C1024" s="16"/>
    </row>
    <row r="1025">
      <c r="A1025" s="19"/>
      <c r="B1025" s="19"/>
      <c r="C1025" s="16"/>
    </row>
    <row r="1026">
      <c r="A1026" s="19"/>
      <c r="B1026" s="19"/>
      <c r="C1026" s="16"/>
    </row>
    <row r="1027">
      <c r="A1027" s="19"/>
      <c r="B1027" s="19"/>
      <c r="C1027" s="16"/>
    </row>
    <row r="1028">
      <c r="A1028" s="19"/>
      <c r="B1028" s="19"/>
      <c r="C1028" s="16"/>
    </row>
    <row r="1029">
      <c r="A1029" s="19"/>
      <c r="B1029" s="19"/>
      <c r="C1029" s="16"/>
    </row>
    <row r="1030">
      <c r="A1030" s="19"/>
      <c r="B1030" s="19"/>
      <c r="C1030" s="16"/>
    </row>
    <row r="1031">
      <c r="A1031" s="19"/>
      <c r="B1031" s="19"/>
      <c r="C1031" s="16"/>
    </row>
    <row r="1032">
      <c r="A1032" s="19"/>
      <c r="B1032" s="19"/>
      <c r="C1032" s="16"/>
    </row>
    <row r="1033">
      <c r="A1033" s="19"/>
      <c r="B1033" s="19"/>
      <c r="C1033" s="16"/>
    </row>
    <row r="1034">
      <c r="A1034" s="19"/>
      <c r="B1034" s="19"/>
      <c r="C1034" s="16"/>
    </row>
    <row r="1035">
      <c r="A1035" s="19"/>
      <c r="B1035" s="19"/>
      <c r="C1035" s="16"/>
    </row>
    <row r="1036">
      <c r="A1036" s="19"/>
      <c r="B1036" s="19"/>
      <c r="C1036" s="16"/>
    </row>
    <row r="1037">
      <c r="A1037" s="19"/>
      <c r="B1037" s="19"/>
      <c r="C1037" s="16"/>
    </row>
    <row r="1038">
      <c r="A1038" s="19"/>
      <c r="B1038" s="19"/>
      <c r="C1038" s="16"/>
    </row>
    <row r="1039">
      <c r="A1039" s="19"/>
      <c r="B1039" s="19"/>
      <c r="C1039" s="16"/>
    </row>
    <row r="1040">
      <c r="A1040" s="19"/>
      <c r="B1040" s="19"/>
      <c r="C1040" s="16"/>
    </row>
    <row r="1041">
      <c r="A1041" s="19"/>
      <c r="B1041" s="19"/>
      <c r="C1041" s="16"/>
    </row>
    <row r="1042">
      <c r="A1042" s="19"/>
      <c r="B1042" s="19"/>
      <c r="C1042" s="16"/>
    </row>
    <row r="1043">
      <c r="A1043" s="19"/>
      <c r="B1043" s="19"/>
      <c r="C1043" s="16"/>
    </row>
    <row r="1044">
      <c r="A1044" s="19"/>
      <c r="B1044" s="19"/>
      <c r="C1044" s="16"/>
    </row>
    <row r="1045">
      <c r="A1045" s="19"/>
      <c r="B1045" s="19"/>
      <c r="C1045" s="16"/>
    </row>
    <row r="1046">
      <c r="A1046" s="19"/>
      <c r="B1046" s="19"/>
      <c r="C1046" s="16"/>
    </row>
    <row r="1047">
      <c r="A1047" s="19"/>
      <c r="B1047" s="19"/>
      <c r="C1047" s="16"/>
    </row>
    <row r="1048">
      <c r="A1048" s="19"/>
      <c r="B1048" s="19"/>
      <c r="C1048" s="16"/>
    </row>
    <row r="1049">
      <c r="A1049" s="19"/>
      <c r="B1049" s="19"/>
      <c r="C1049" s="16"/>
    </row>
    <row r="1050">
      <c r="A1050" s="19"/>
      <c r="B1050" s="19"/>
      <c r="C1050" s="16"/>
    </row>
    <row r="1051">
      <c r="A1051" s="19"/>
      <c r="B1051" s="19"/>
      <c r="C1051" s="16"/>
    </row>
    <row r="1052">
      <c r="A1052" s="19"/>
      <c r="B1052" s="19"/>
      <c r="C1052" s="16"/>
    </row>
    <row r="1053">
      <c r="A1053" s="19"/>
      <c r="B1053" s="19"/>
      <c r="C1053" s="16"/>
    </row>
    <row r="1054">
      <c r="A1054" s="19"/>
      <c r="B1054" s="19"/>
      <c r="C1054" s="16"/>
    </row>
    <row r="1055">
      <c r="A1055" s="19"/>
      <c r="B1055" s="19"/>
      <c r="C1055" s="16"/>
    </row>
    <row r="1056">
      <c r="A1056" s="19"/>
      <c r="B1056" s="19"/>
      <c r="C1056" s="16"/>
    </row>
    <row r="1057">
      <c r="A1057" s="19"/>
      <c r="B1057" s="19"/>
      <c r="C1057" s="16"/>
    </row>
    <row r="1058">
      <c r="A1058" s="19"/>
      <c r="B1058" s="19"/>
      <c r="C1058" s="16"/>
    </row>
    <row r="1059">
      <c r="A1059" s="19"/>
      <c r="B1059" s="19"/>
      <c r="C1059" s="16"/>
    </row>
    <row r="1060">
      <c r="A1060" s="19"/>
      <c r="B1060" s="19"/>
      <c r="C1060" s="16"/>
    </row>
    <row r="1061">
      <c r="A1061" s="19"/>
      <c r="B1061" s="19"/>
      <c r="C1061" s="16"/>
    </row>
    <row r="1062">
      <c r="A1062" s="19"/>
      <c r="B1062" s="19"/>
      <c r="C1062" s="16"/>
    </row>
    <row r="1063">
      <c r="A1063" s="19"/>
      <c r="B1063" s="19"/>
      <c r="C1063" s="16"/>
    </row>
    <row r="1064">
      <c r="A1064" s="19"/>
      <c r="B1064" s="19"/>
      <c r="C1064" s="16"/>
    </row>
    <row r="1065">
      <c r="A1065" s="19"/>
      <c r="B1065" s="19"/>
      <c r="C1065" s="16"/>
    </row>
    <row r="1066">
      <c r="A1066" s="19"/>
      <c r="B1066" s="19"/>
      <c r="C1066" s="16"/>
    </row>
    <row r="1067">
      <c r="A1067" s="19"/>
      <c r="B1067" s="19"/>
      <c r="C1067" s="16"/>
    </row>
    <row r="1068">
      <c r="A1068" s="19"/>
      <c r="B1068" s="19"/>
      <c r="C1068" s="16"/>
    </row>
    <row r="1069">
      <c r="A1069" s="19"/>
      <c r="B1069" s="19"/>
      <c r="C1069" s="16"/>
    </row>
    <row r="1070">
      <c r="A1070" s="19"/>
      <c r="B1070" s="19"/>
      <c r="C1070" s="16"/>
    </row>
    <row r="1071">
      <c r="A1071" s="19"/>
      <c r="B1071" s="19"/>
      <c r="C1071" s="16"/>
    </row>
    <row r="1072">
      <c r="A1072" s="19"/>
      <c r="B1072" s="19"/>
      <c r="C1072" s="16"/>
    </row>
    <row r="1073">
      <c r="A1073" s="19"/>
      <c r="B1073" s="19"/>
      <c r="C1073" s="16"/>
    </row>
    <row r="1074">
      <c r="A1074" s="19"/>
      <c r="B1074" s="19"/>
      <c r="C1074" s="16"/>
    </row>
    <row r="1075">
      <c r="A1075" s="19"/>
      <c r="B1075" s="19"/>
      <c r="C1075" s="16"/>
    </row>
    <row r="1076">
      <c r="A1076" s="19"/>
      <c r="B1076" s="19"/>
      <c r="C1076" s="16"/>
    </row>
    <row r="1077">
      <c r="A1077" s="19"/>
      <c r="B1077" s="19"/>
      <c r="C1077" s="16"/>
    </row>
    <row r="1078">
      <c r="A1078" s="19"/>
      <c r="B1078" s="19"/>
      <c r="C1078" s="16"/>
    </row>
    <row r="1079">
      <c r="A1079" s="19"/>
      <c r="B1079" s="19"/>
      <c r="C1079" s="16"/>
    </row>
    <row r="1080">
      <c r="A1080" s="19"/>
      <c r="B1080" s="19"/>
      <c r="C1080" s="16"/>
    </row>
    <row r="1081">
      <c r="A1081" s="19"/>
      <c r="B1081" s="19"/>
      <c r="C1081" s="16"/>
    </row>
    <row r="1082">
      <c r="A1082" s="19"/>
      <c r="B1082" s="19"/>
      <c r="C1082" s="16"/>
    </row>
    <row r="1083">
      <c r="A1083" s="19"/>
      <c r="B1083" s="19"/>
      <c r="C1083" s="16"/>
    </row>
    <row r="1084">
      <c r="A1084" s="19"/>
      <c r="B1084" s="19"/>
      <c r="C1084" s="16"/>
    </row>
    <row r="1085">
      <c r="A1085" s="19"/>
      <c r="B1085" s="19"/>
      <c r="C1085" s="16"/>
    </row>
    <row r="1086">
      <c r="A1086" s="19"/>
      <c r="B1086" s="19"/>
      <c r="C1086" s="16"/>
    </row>
    <row r="1087">
      <c r="A1087" s="19"/>
      <c r="B1087" s="19"/>
      <c r="C1087" s="16"/>
    </row>
    <row r="1088">
      <c r="A1088" s="19"/>
      <c r="B1088" s="19"/>
      <c r="C1088" s="16"/>
    </row>
    <row r="1089">
      <c r="A1089" s="19"/>
      <c r="B1089" s="19"/>
      <c r="C1089" s="16"/>
    </row>
    <row r="1090">
      <c r="A1090" s="19"/>
      <c r="B1090" s="19"/>
      <c r="C1090" s="16"/>
    </row>
    <row r="1091">
      <c r="A1091" s="19"/>
      <c r="B1091" s="19"/>
      <c r="C1091" s="16"/>
    </row>
    <row r="1092">
      <c r="A1092" s="19"/>
      <c r="B1092" s="19"/>
      <c r="C1092" s="16"/>
    </row>
    <row r="1093">
      <c r="A1093" s="19"/>
      <c r="B1093" s="19"/>
      <c r="C1093" s="16"/>
    </row>
    <row r="1094">
      <c r="A1094" s="19"/>
      <c r="B1094" s="19"/>
      <c r="C1094" s="16"/>
    </row>
    <row r="1095">
      <c r="A1095" s="19"/>
      <c r="B1095" s="19"/>
      <c r="C1095" s="16"/>
    </row>
    <row r="1096">
      <c r="A1096" s="19"/>
      <c r="B1096" s="19"/>
      <c r="C1096" s="16"/>
    </row>
    <row r="1097">
      <c r="A1097" s="19"/>
      <c r="B1097" s="19"/>
      <c r="C1097" s="16"/>
    </row>
    <row r="1098">
      <c r="A1098" s="19"/>
      <c r="B1098" s="19"/>
      <c r="C1098" s="16"/>
    </row>
    <row r="1099">
      <c r="A1099" s="19"/>
      <c r="B1099" s="19"/>
      <c r="C1099" s="16"/>
    </row>
    <row r="1100">
      <c r="A1100" s="19"/>
      <c r="B1100" s="19"/>
      <c r="C1100" s="16"/>
    </row>
    <row r="1101">
      <c r="A1101" s="19"/>
      <c r="B1101" s="19"/>
      <c r="C1101" s="16"/>
    </row>
    <row r="1102">
      <c r="A1102" s="19"/>
      <c r="B1102" s="19"/>
      <c r="C1102" s="16"/>
    </row>
    <row r="1103">
      <c r="A1103" s="19"/>
      <c r="B1103" s="19"/>
      <c r="C1103" s="16"/>
    </row>
    <row r="1104">
      <c r="A1104" s="19"/>
      <c r="B1104" s="19"/>
      <c r="C1104" s="16"/>
    </row>
    <row r="1105">
      <c r="A1105" s="19"/>
      <c r="B1105" s="19"/>
      <c r="C1105" s="16"/>
    </row>
    <row r="1106">
      <c r="A1106" s="19"/>
      <c r="B1106" s="19"/>
      <c r="C1106" s="16"/>
    </row>
    <row r="1107">
      <c r="A1107" s="19"/>
      <c r="B1107" s="19"/>
      <c r="C1107" s="16"/>
    </row>
    <row r="1108">
      <c r="A1108" s="19"/>
      <c r="B1108" s="19"/>
      <c r="C1108" s="16"/>
    </row>
    <row r="1109">
      <c r="A1109" s="19"/>
      <c r="B1109" s="19"/>
      <c r="C1109" s="16"/>
    </row>
    <row r="1110">
      <c r="A1110" s="19"/>
      <c r="B1110" s="19"/>
      <c r="C1110" s="16"/>
    </row>
    <row r="1111">
      <c r="A1111" s="19"/>
      <c r="B1111" s="19"/>
      <c r="C1111" s="16"/>
    </row>
    <row r="1112">
      <c r="A1112" s="19"/>
      <c r="B1112" s="19"/>
      <c r="C1112" s="16"/>
    </row>
    <row r="1113">
      <c r="A1113" s="19"/>
      <c r="B1113" s="19"/>
      <c r="C1113" s="16"/>
    </row>
    <row r="1114">
      <c r="A1114" s="19"/>
      <c r="B1114" s="19"/>
      <c r="C1114" s="16"/>
    </row>
    <row r="1115">
      <c r="A1115" s="19"/>
      <c r="B1115" s="19"/>
      <c r="C1115" s="16"/>
    </row>
    <row r="1116">
      <c r="A1116" s="19"/>
      <c r="B1116" s="19"/>
      <c r="C1116" s="16"/>
    </row>
    <row r="1117">
      <c r="A1117" s="19"/>
      <c r="B1117" s="19"/>
      <c r="C1117" s="16"/>
    </row>
    <row r="1118">
      <c r="A1118" s="19"/>
      <c r="B1118" s="19"/>
      <c r="C1118" s="16"/>
    </row>
    <row r="1119">
      <c r="A1119" s="19"/>
      <c r="B1119" s="19"/>
      <c r="C1119" s="16"/>
    </row>
    <row r="1120">
      <c r="A1120" s="19"/>
      <c r="B1120" s="19"/>
      <c r="C1120" s="16"/>
    </row>
    <row r="1121">
      <c r="A1121" s="19"/>
      <c r="B1121" s="19"/>
      <c r="C1121" s="16"/>
    </row>
    <row r="1122">
      <c r="A1122" s="19"/>
      <c r="B1122" s="19"/>
      <c r="C1122" s="16"/>
    </row>
    <row r="1123">
      <c r="A1123" s="19"/>
      <c r="B1123" s="19"/>
      <c r="C1123" s="16"/>
    </row>
    <row r="1124">
      <c r="A1124" s="19"/>
      <c r="B1124" s="19"/>
      <c r="C1124" s="16"/>
    </row>
    <row r="1125">
      <c r="A1125" s="19"/>
      <c r="B1125" s="19"/>
      <c r="C1125" s="16"/>
    </row>
    <row r="1126">
      <c r="A1126" s="19"/>
      <c r="B1126" s="19"/>
      <c r="C1126" s="16"/>
    </row>
    <row r="1127">
      <c r="A1127" s="19"/>
      <c r="B1127" s="19"/>
      <c r="C1127" s="16"/>
    </row>
    <row r="1128">
      <c r="A1128" s="19"/>
      <c r="B1128" s="19"/>
      <c r="C1128" s="16"/>
    </row>
    <row r="1129">
      <c r="A1129" s="19"/>
      <c r="B1129" s="19"/>
      <c r="C1129" s="16"/>
    </row>
    <row r="1130">
      <c r="A1130" s="19"/>
      <c r="B1130" s="19"/>
      <c r="C1130" s="16"/>
    </row>
    <row r="1131">
      <c r="A1131" s="19"/>
      <c r="B1131" s="19"/>
      <c r="C1131" s="16"/>
    </row>
    <row r="1132">
      <c r="A1132" s="19"/>
      <c r="B1132" s="19"/>
      <c r="C1132" s="16"/>
    </row>
    <row r="1133">
      <c r="A1133" s="19"/>
      <c r="B1133" s="19"/>
      <c r="C1133" s="16"/>
    </row>
    <row r="1134">
      <c r="A1134" s="19"/>
      <c r="B1134" s="19"/>
      <c r="C1134" s="16"/>
    </row>
    <row r="1135">
      <c r="A1135" s="19"/>
      <c r="B1135" s="19"/>
      <c r="C1135" s="16"/>
    </row>
    <row r="1136">
      <c r="A1136" s="19"/>
      <c r="B1136" s="19"/>
      <c r="C1136" s="16"/>
    </row>
    <row r="1137">
      <c r="A1137" s="19"/>
      <c r="B1137" s="19"/>
      <c r="C1137" s="16"/>
    </row>
    <row r="1138">
      <c r="A1138" s="19"/>
      <c r="B1138" s="19"/>
      <c r="C1138" s="16"/>
    </row>
    <row r="1139">
      <c r="A1139" s="19"/>
      <c r="B1139" s="19"/>
      <c r="C1139" s="16"/>
    </row>
    <row r="1140">
      <c r="A1140" s="19"/>
      <c r="B1140" s="19"/>
      <c r="C1140" s="16"/>
    </row>
    <row r="1141">
      <c r="A1141" s="19"/>
      <c r="B1141" s="19"/>
      <c r="C1141" s="16"/>
    </row>
    <row r="1142">
      <c r="A1142" s="19"/>
      <c r="B1142" s="19"/>
      <c r="C1142" s="16"/>
    </row>
    <row r="1143">
      <c r="A1143" s="19"/>
      <c r="B1143" s="19"/>
      <c r="C1143" s="16"/>
    </row>
    <row r="1144">
      <c r="A1144" s="19"/>
      <c r="B1144" s="19"/>
      <c r="C1144" s="16"/>
    </row>
    <row r="1145">
      <c r="A1145" s="19"/>
      <c r="B1145" s="19"/>
      <c r="C1145" s="16"/>
    </row>
    <row r="1146">
      <c r="A1146" s="19"/>
      <c r="B1146" s="19"/>
      <c r="C1146" s="16"/>
    </row>
    <row r="1147">
      <c r="A1147" s="19"/>
      <c r="B1147" s="19"/>
      <c r="C1147" s="16"/>
    </row>
    <row r="1148">
      <c r="A1148" s="19"/>
      <c r="B1148" s="19"/>
      <c r="C1148" s="16"/>
    </row>
    <row r="1149">
      <c r="A1149" s="19"/>
      <c r="B1149" s="19"/>
      <c r="C1149" s="16"/>
    </row>
    <row r="1150">
      <c r="A1150" s="19"/>
      <c r="B1150" s="19"/>
      <c r="C1150" s="16"/>
    </row>
    <row r="1151">
      <c r="A1151" s="19"/>
      <c r="B1151" s="19"/>
      <c r="C1151" s="16"/>
    </row>
    <row r="1152">
      <c r="A1152" s="19"/>
      <c r="B1152" s="19"/>
      <c r="C1152" s="16"/>
    </row>
    <row r="1153">
      <c r="A1153" s="19"/>
      <c r="B1153" s="19"/>
      <c r="C1153" s="16"/>
    </row>
    <row r="1154">
      <c r="A1154" s="19"/>
      <c r="B1154" s="19"/>
      <c r="C1154" s="16"/>
    </row>
    <row r="1155">
      <c r="A1155" s="19"/>
      <c r="B1155" s="19"/>
      <c r="C1155" s="16"/>
    </row>
    <row r="1156">
      <c r="A1156" s="19"/>
      <c r="B1156" s="19"/>
      <c r="C1156" s="16"/>
    </row>
    <row r="1157">
      <c r="A1157" s="19"/>
      <c r="B1157" s="19"/>
      <c r="C1157" s="16"/>
    </row>
    <row r="1158">
      <c r="A1158" s="19"/>
      <c r="B1158" s="19"/>
      <c r="C1158" s="16"/>
    </row>
    <row r="1159">
      <c r="A1159" s="19"/>
      <c r="B1159" s="19"/>
      <c r="C1159" s="16"/>
    </row>
    <row r="1160">
      <c r="A1160" s="19"/>
      <c r="B1160" s="19"/>
      <c r="C1160" s="16"/>
    </row>
    <row r="1161">
      <c r="A1161" s="19"/>
      <c r="B1161" s="19"/>
      <c r="C1161" s="16"/>
    </row>
    <row r="1162">
      <c r="A1162" s="19"/>
      <c r="B1162" s="19"/>
      <c r="C1162" s="16"/>
    </row>
    <row r="1163">
      <c r="A1163" s="19"/>
      <c r="B1163" s="19"/>
      <c r="C1163" s="16"/>
    </row>
    <row r="1164">
      <c r="A1164" s="19"/>
      <c r="B1164" s="19"/>
      <c r="C1164" s="16"/>
    </row>
    <row r="1165">
      <c r="A1165" s="19"/>
      <c r="B1165" s="19"/>
      <c r="C1165" s="16"/>
    </row>
    <row r="1166">
      <c r="A1166" s="19"/>
      <c r="B1166" s="19"/>
      <c r="C1166" s="16"/>
    </row>
    <row r="1167">
      <c r="A1167" s="19"/>
      <c r="B1167" s="19"/>
      <c r="C1167" s="16"/>
    </row>
    <row r="1168">
      <c r="A1168" s="19"/>
      <c r="B1168" s="19"/>
      <c r="C1168" s="16"/>
    </row>
    <row r="1169">
      <c r="A1169" s="19"/>
      <c r="B1169" s="19"/>
      <c r="C1169" s="16"/>
    </row>
    <row r="1170">
      <c r="A1170" s="19"/>
      <c r="B1170" s="19"/>
      <c r="C1170" s="16"/>
    </row>
    <row r="1171">
      <c r="A1171" s="19"/>
      <c r="B1171" s="19"/>
      <c r="C1171" s="16"/>
    </row>
    <row r="1172">
      <c r="A1172" s="19"/>
      <c r="B1172" s="19"/>
      <c r="C1172" s="16"/>
    </row>
    <row r="1173">
      <c r="A1173" s="19"/>
      <c r="B1173" s="19"/>
      <c r="C1173" s="16"/>
    </row>
    <row r="1174">
      <c r="A1174" s="19"/>
      <c r="B1174" s="19"/>
      <c r="C1174" s="16"/>
    </row>
    <row r="1175">
      <c r="A1175" s="19"/>
      <c r="B1175" s="19"/>
      <c r="C1175" s="16"/>
    </row>
    <row r="1176">
      <c r="A1176" s="19"/>
      <c r="B1176" s="19"/>
      <c r="C1176" s="16"/>
    </row>
    <row r="1177">
      <c r="A1177" s="19"/>
      <c r="B1177" s="19"/>
      <c r="C1177" s="16"/>
    </row>
    <row r="1178">
      <c r="A1178" s="19"/>
      <c r="B1178" s="19"/>
      <c r="C1178" s="16"/>
    </row>
    <row r="1179">
      <c r="A1179" s="19"/>
      <c r="B1179" s="19"/>
      <c r="C1179" s="16"/>
    </row>
    <row r="1180">
      <c r="A1180" s="19"/>
      <c r="B1180" s="19"/>
      <c r="C1180" s="16"/>
    </row>
    <row r="1181">
      <c r="A1181" s="19"/>
      <c r="B1181" s="19"/>
      <c r="C1181" s="16"/>
    </row>
    <row r="1182">
      <c r="A1182" s="19"/>
      <c r="B1182" s="19"/>
      <c r="C1182" s="16"/>
    </row>
    <row r="1183">
      <c r="A1183" s="19"/>
      <c r="B1183" s="19"/>
      <c r="C1183" s="16"/>
    </row>
    <row r="1184">
      <c r="A1184" s="19"/>
      <c r="B1184" s="19"/>
      <c r="C1184" s="16"/>
    </row>
    <row r="1185">
      <c r="A1185" s="19"/>
      <c r="B1185" s="19"/>
      <c r="C1185" s="16"/>
    </row>
    <row r="1186">
      <c r="A1186" s="19"/>
      <c r="B1186" s="19"/>
      <c r="C1186" s="16"/>
    </row>
    <row r="1187">
      <c r="A1187" s="19"/>
      <c r="B1187" s="19"/>
      <c r="C1187" s="16"/>
    </row>
    <row r="1188">
      <c r="A1188" s="19"/>
      <c r="B1188" s="19"/>
      <c r="C1188" s="16"/>
    </row>
    <row r="1189">
      <c r="A1189" s="19"/>
      <c r="B1189" s="19"/>
      <c r="C1189" s="16"/>
    </row>
    <row r="1190">
      <c r="A1190" s="19"/>
      <c r="B1190" s="19"/>
      <c r="C1190" s="16"/>
    </row>
    <row r="1191">
      <c r="A1191" s="19"/>
      <c r="B1191" s="19"/>
      <c r="C1191" s="16"/>
    </row>
    <row r="1192">
      <c r="A1192" s="19"/>
      <c r="B1192" s="19"/>
      <c r="C1192" s="16"/>
    </row>
    <row r="1193">
      <c r="A1193" s="19"/>
      <c r="B1193" s="19"/>
      <c r="C1193" s="16"/>
    </row>
    <row r="1194">
      <c r="A1194" s="19"/>
      <c r="B1194" s="19"/>
      <c r="C1194" s="16"/>
    </row>
    <row r="1195">
      <c r="A1195" s="19"/>
      <c r="B1195" s="19"/>
      <c r="C1195" s="16"/>
    </row>
    <row r="1196">
      <c r="A1196" s="19"/>
      <c r="B1196" s="19"/>
      <c r="C1196" s="16"/>
    </row>
    <row r="1197">
      <c r="A1197" s="19"/>
      <c r="B1197" s="19"/>
      <c r="C1197" s="16"/>
    </row>
    <row r="1198">
      <c r="A1198" s="19"/>
      <c r="B1198" s="19"/>
      <c r="C1198" s="16"/>
    </row>
    <row r="1199">
      <c r="A1199" s="19"/>
      <c r="B1199" s="19"/>
      <c r="C1199" s="16"/>
    </row>
    <row r="1200">
      <c r="A1200" s="19"/>
      <c r="B1200" s="19"/>
      <c r="C1200" s="16"/>
    </row>
    <row r="1201">
      <c r="A1201" s="19"/>
      <c r="B1201" s="19"/>
      <c r="C1201" s="16"/>
    </row>
    <row r="1202">
      <c r="A1202" s="19"/>
      <c r="B1202" s="19"/>
      <c r="C1202" s="16"/>
    </row>
    <row r="1203">
      <c r="A1203" s="19"/>
      <c r="B1203" s="19"/>
      <c r="C1203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3.0"/>
    <col customWidth="1" min="3" max="3" width="26.0"/>
    <col customWidth="1" min="4" max="4" width="17.5"/>
    <col customWidth="1" min="5" max="5" width="17.88"/>
    <col customWidth="1" min="6" max="13" width="13.0"/>
  </cols>
  <sheetData>
    <row r="1">
      <c r="A1" s="20" t="s">
        <v>89</v>
      </c>
      <c r="B1" s="1" t="s">
        <v>0</v>
      </c>
      <c r="C1" s="2" t="s">
        <v>1</v>
      </c>
      <c r="D1" s="3"/>
      <c r="E1" s="1" t="s">
        <v>2</v>
      </c>
      <c r="F1" s="21" t="s">
        <v>90</v>
      </c>
      <c r="G1" s="2" t="s">
        <v>91</v>
      </c>
      <c r="H1" s="1" t="s">
        <v>92</v>
      </c>
      <c r="I1" s="22" t="s">
        <v>93</v>
      </c>
      <c r="J1" s="23" t="s">
        <v>94</v>
      </c>
      <c r="K1" s="2" t="s">
        <v>95</v>
      </c>
      <c r="L1" s="2" t="s">
        <v>96</v>
      </c>
      <c r="M1" s="2" t="s">
        <v>97</v>
      </c>
      <c r="N1" s="24"/>
      <c r="O1" s="24"/>
      <c r="P1" s="24"/>
      <c r="Q1" s="24"/>
      <c r="R1" s="24"/>
      <c r="S1" s="24"/>
      <c r="T1" s="24"/>
      <c r="U1" s="24"/>
    </row>
    <row r="2" hidden="1">
      <c r="A2" s="13" t="s">
        <v>98</v>
      </c>
      <c r="B2" s="14">
        <v>7.81982498E8</v>
      </c>
      <c r="C2" s="13" t="s">
        <v>99</v>
      </c>
      <c r="D2" s="14">
        <v>7.09459171E8</v>
      </c>
      <c r="E2" s="13" t="s">
        <v>45</v>
      </c>
      <c r="F2" s="25">
        <v>400000.0</v>
      </c>
      <c r="G2" s="26">
        <v>30.0</v>
      </c>
      <c r="H2" s="26">
        <f t="shared" ref="H2:H367" si="1">F2*((1+0.3)^(G2/30)-1)</f>
        <v>120000</v>
      </c>
      <c r="I2" s="26">
        <f t="shared" ref="I2:I10" si="2">F2*(1+0.3)^(G2/30)</f>
        <v>520000</v>
      </c>
      <c r="J2" s="26">
        <f t="shared" ref="J2:J10" si="3">Round(I2/G2,-2)</f>
        <v>17300</v>
      </c>
      <c r="K2" s="27">
        <v>45951.0</v>
      </c>
      <c r="L2" s="27">
        <v>45982.0</v>
      </c>
      <c r="M2" s="13" t="str">
        <f t="shared" ref="M2:M11" si="4">IF(TODAY()&gt;L2,"Overdue", IF(I2=0, "Cleared", "Active"))</f>
        <v>Active</v>
      </c>
      <c r="N2" s="24"/>
      <c r="O2" s="24"/>
      <c r="P2" s="24"/>
      <c r="Q2" s="24"/>
      <c r="R2" s="24"/>
      <c r="S2" s="24"/>
      <c r="T2" s="24"/>
      <c r="U2" s="24"/>
    </row>
    <row r="3">
      <c r="A3" s="13" t="s">
        <v>100</v>
      </c>
      <c r="B3" s="14">
        <v>7.45161048E8</v>
      </c>
      <c r="C3" s="13" t="s">
        <v>101</v>
      </c>
      <c r="D3" s="14">
        <v>7.05071449E8</v>
      </c>
      <c r="E3" s="13" t="s">
        <v>5</v>
      </c>
      <c r="F3" s="25">
        <v>300000.0</v>
      </c>
      <c r="G3" s="28">
        <v>60.0</v>
      </c>
      <c r="H3" s="26">
        <f t="shared" si="1"/>
        <v>207000</v>
      </c>
      <c r="I3" s="26">
        <f t="shared" si="2"/>
        <v>507000</v>
      </c>
      <c r="J3" s="26">
        <f t="shared" si="3"/>
        <v>8500</v>
      </c>
      <c r="K3" s="29">
        <v>45695.0</v>
      </c>
      <c r="L3" s="29">
        <v>45724.0</v>
      </c>
      <c r="M3" s="13" t="str">
        <f t="shared" si="4"/>
        <v>Overdue</v>
      </c>
      <c r="N3" s="24"/>
      <c r="O3" s="24"/>
      <c r="P3" s="24"/>
      <c r="Q3" s="24"/>
      <c r="R3" s="24"/>
      <c r="S3" s="24"/>
      <c r="T3" s="24"/>
      <c r="U3" s="24"/>
    </row>
    <row r="4">
      <c r="A4" s="13" t="s">
        <v>102</v>
      </c>
      <c r="B4" s="14">
        <v>7.52601725E8</v>
      </c>
      <c r="C4" s="13" t="s">
        <v>103</v>
      </c>
      <c r="D4" s="14">
        <v>7.40259097E8</v>
      </c>
      <c r="E4" s="13" t="s">
        <v>26</v>
      </c>
      <c r="F4" s="25">
        <v>400000.0</v>
      </c>
      <c r="G4" s="25">
        <v>30.0</v>
      </c>
      <c r="H4" s="26">
        <f t="shared" si="1"/>
        <v>120000</v>
      </c>
      <c r="I4" s="26">
        <f t="shared" si="2"/>
        <v>520000</v>
      </c>
      <c r="J4" s="26">
        <f t="shared" si="3"/>
        <v>17300</v>
      </c>
      <c r="K4" s="29">
        <v>45768.0</v>
      </c>
      <c r="L4" s="30">
        <v>45798.0</v>
      </c>
      <c r="M4" s="13" t="str">
        <f t="shared" si="4"/>
        <v>Overdue</v>
      </c>
      <c r="N4" s="24"/>
      <c r="O4" s="24"/>
      <c r="P4" s="24"/>
      <c r="Q4" s="24"/>
      <c r="R4" s="24"/>
      <c r="S4" s="24"/>
      <c r="T4" s="24"/>
      <c r="U4" s="24"/>
    </row>
    <row r="5">
      <c r="A5" s="13" t="s">
        <v>104</v>
      </c>
      <c r="B5" s="14">
        <v>7.05468841E8</v>
      </c>
      <c r="C5" s="13" t="s">
        <v>105</v>
      </c>
      <c r="D5" s="14">
        <v>7.5318276E8</v>
      </c>
      <c r="E5" s="13" t="s">
        <v>5</v>
      </c>
      <c r="F5" s="26">
        <v>140000.0</v>
      </c>
      <c r="G5" s="14">
        <v>30.0</v>
      </c>
      <c r="H5" s="26">
        <f t="shared" si="1"/>
        <v>42000</v>
      </c>
      <c r="I5" s="26">
        <f t="shared" si="2"/>
        <v>182000</v>
      </c>
      <c r="J5" s="26">
        <f t="shared" si="3"/>
        <v>6100</v>
      </c>
      <c r="K5" s="29">
        <v>45693.0</v>
      </c>
      <c r="L5" s="29">
        <v>45752.0</v>
      </c>
      <c r="M5" s="13" t="str">
        <f t="shared" si="4"/>
        <v>Overdue</v>
      </c>
      <c r="N5" s="24"/>
      <c r="O5" s="24"/>
      <c r="P5" s="24"/>
      <c r="Q5" s="24"/>
      <c r="R5" s="24"/>
      <c r="S5" s="24"/>
      <c r="T5" s="24"/>
      <c r="U5" s="24"/>
    </row>
    <row r="6">
      <c r="A6" s="13" t="s">
        <v>106</v>
      </c>
      <c r="B6" s="14">
        <v>7.47419808E8</v>
      </c>
      <c r="C6" s="13" t="s">
        <v>107</v>
      </c>
      <c r="D6" s="14">
        <v>7.01355839E8</v>
      </c>
      <c r="E6" s="13" t="s">
        <v>26</v>
      </c>
      <c r="F6" s="26">
        <v>160000.0</v>
      </c>
      <c r="G6" s="26">
        <v>60.0</v>
      </c>
      <c r="H6" s="26">
        <f t="shared" si="1"/>
        <v>110400</v>
      </c>
      <c r="I6" s="26">
        <f t="shared" si="2"/>
        <v>270400</v>
      </c>
      <c r="J6" s="26">
        <f t="shared" si="3"/>
        <v>4500</v>
      </c>
      <c r="K6" s="29">
        <v>45768.0</v>
      </c>
      <c r="L6" s="29">
        <v>45829.0</v>
      </c>
      <c r="M6" s="13" t="str">
        <f t="shared" si="4"/>
        <v>Overdue</v>
      </c>
      <c r="N6" s="24"/>
      <c r="O6" s="24"/>
      <c r="P6" s="24"/>
      <c r="Q6" s="24"/>
      <c r="R6" s="24"/>
      <c r="S6" s="24"/>
      <c r="T6" s="24"/>
      <c r="U6" s="24"/>
    </row>
    <row r="7">
      <c r="A7" s="13" t="s">
        <v>108</v>
      </c>
      <c r="B7" s="14">
        <v>7.04453861E8</v>
      </c>
      <c r="C7" s="13" t="s">
        <v>109</v>
      </c>
      <c r="D7" s="14">
        <v>7.04453861E8</v>
      </c>
      <c r="E7" s="13" t="s">
        <v>45</v>
      </c>
      <c r="F7" s="26">
        <v>100000.0</v>
      </c>
      <c r="G7" s="26">
        <v>30.0</v>
      </c>
      <c r="H7" s="26">
        <f t="shared" si="1"/>
        <v>30000</v>
      </c>
      <c r="I7" s="26">
        <f t="shared" si="2"/>
        <v>130000</v>
      </c>
      <c r="J7" s="26">
        <f t="shared" si="3"/>
        <v>4300</v>
      </c>
      <c r="K7" s="29">
        <v>45745.0</v>
      </c>
      <c r="L7" s="29">
        <v>45776.0</v>
      </c>
      <c r="M7" s="13" t="str">
        <f t="shared" si="4"/>
        <v>Overdue</v>
      </c>
      <c r="N7" s="24"/>
      <c r="O7" s="24"/>
      <c r="P7" s="24"/>
      <c r="Q7" s="24"/>
      <c r="R7" s="24"/>
      <c r="S7" s="24"/>
      <c r="T7" s="24"/>
      <c r="U7" s="24"/>
    </row>
    <row r="8">
      <c r="A8" s="13" t="s">
        <v>110</v>
      </c>
      <c r="B8" s="14">
        <v>7.45161048E8</v>
      </c>
      <c r="C8" s="13" t="s">
        <v>111</v>
      </c>
      <c r="D8" s="14">
        <v>7.77589543E8</v>
      </c>
      <c r="E8" s="13" t="s">
        <v>57</v>
      </c>
      <c r="F8" s="26">
        <v>100000.0</v>
      </c>
      <c r="G8" s="26">
        <v>30.0</v>
      </c>
      <c r="H8" s="26">
        <f t="shared" si="1"/>
        <v>30000</v>
      </c>
      <c r="I8" s="26">
        <f t="shared" si="2"/>
        <v>130000</v>
      </c>
      <c r="J8" s="26">
        <f t="shared" si="3"/>
        <v>4300</v>
      </c>
      <c r="K8" s="29">
        <v>45716.0</v>
      </c>
      <c r="L8" s="29">
        <v>45744.0</v>
      </c>
      <c r="M8" s="13" t="str">
        <f t="shared" si="4"/>
        <v>Overdue</v>
      </c>
      <c r="N8" s="24"/>
      <c r="O8" s="24"/>
      <c r="P8" s="24"/>
      <c r="Q8" s="24"/>
      <c r="R8" s="24"/>
      <c r="S8" s="24"/>
      <c r="T8" s="24"/>
      <c r="U8" s="24"/>
    </row>
    <row r="9">
      <c r="A9" s="13" t="s">
        <v>112</v>
      </c>
      <c r="B9" s="14">
        <v>7.42753089E8</v>
      </c>
      <c r="C9" s="13" t="s">
        <v>113</v>
      </c>
      <c r="D9" s="14">
        <v>7.02413028E8</v>
      </c>
      <c r="E9" s="13" t="s">
        <v>114</v>
      </c>
      <c r="F9" s="26">
        <v>400000.0</v>
      </c>
      <c r="G9" s="26">
        <v>30.0</v>
      </c>
      <c r="H9" s="26">
        <f t="shared" si="1"/>
        <v>120000</v>
      </c>
      <c r="I9" s="26">
        <f t="shared" si="2"/>
        <v>520000</v>
      </c>
      <c r="J9" s="26">
        <f t="shared" si="3"/>
        <v>17300</v>
      </c>
      <c r="K9" s="30">
        <v>45790.0</v>
      </c>
      <c r="L9" s="29">
        <v>45821.0</v>
      </c>
      <c r="M9" s="13" t="str">
        <f t="shared" si="4"/>
        <v>Overdue</v>
      </c>
      <c r="N9" s="24"/>
      <c r="O9" s="24"/>
      <c r="P9" s="24"/>
      <c r="Q9" s="24"/>
      <c r="R9" s="24"/>
      <c r="S9" s="24"/>
      <c r="T9" s="24"/>
      <c r="U9" s="24"/>
    </row>
    <row r="10">
      <c r="A10" s="13" t="s">
        <v>115</v>
      </c>
      <c r="B10" s="14">
        <v>7.08913453E8</v>
      </c>
      <c r="C10" s="13" t="s">
        <v>116</v>
      </c>
      <c r="D10" s="14">
        <v>7.5297502E8</v>
      </c>
      <c r="E10" s="13" t="s">
        <v>71</v>
      </c>
      <c r="F10" s="26">
        <v>210000.0</v>
      </c>
      <c r="G10" s="26">
        <v>30.0</v>
      </c>
      <c r="H10" s="26">
        <f t="shared" si="1"/>
        <v>63000</v>
      </c>
      <c r="I10" s="26">
        <f t="shared" si="2"/>
        <v>273000</v>
      </c>
      <c r="J10" s="26">
        <f t="shared" si="3"/>
        <v>9100</v>
      </c>
      <c r="K10" s="29">
        <v>45716.0</v>
      </c>
      <c r="L10" s="29">
        <v>45775.0</v>
      </c>
      <c r="M10" s="13" t="str">
        <f t="shared" si="4"/>
        <v>Overdue</v>
      </c>
      <c r="N10" s="24"/>
      <c r="O10" s="24"/>
      <c r="P10" s="24"/>
      <c r="Q10" s="24"/>
      <c r="R10" s="24"/>
      <c r="S10" s="24"/>
      <c r="T10" s="24"/>
      <c r="U10" s="24"/>
    </row>
    <row r="11">
      <c r="A11" s="13" t="s">
        <v>117</v>
      </c>
      <c r="B11" s="14">
        <v>7.70165618E8</v>
      </c>
      <c r="C11" s="13" t="s">
        <v>118</v>
      </c>
      <c r="D11" s="14">
        <v>7.55734622E8</v>
      </c>
      <c r="E11" s="13" t="s">
        <v>45</v>
      </c>
      <c r="F11" s="25">
        <v>300000.0</v>
      </c>
      <c r="G11" s="26">
        <v>30.0</v>
      </c>
      <c r="H11" s="26">
        <f t="shared" si="1"/>
        <v>90000</v>
      </c>
      <c r="I11" s="31">
        <f t="shared" ref="I11:I12" si="5">F11*(1+0.3)^(G11/30)+20000</f>
        <v>410000</v>
      </c>
      <c r="J11" s="26">
        <f t="shared" ref="J11:J12" si="6">I11/G11</f>
        <v>13666.66667</v>
      </c>
      <c r="K11" s="27">
        <v>45897.0</v>
      </c>
      <c r="L11" s="28" t="s">
        <v>119</v>
      </c>
      <c r="M11" s="13" t="str">
        <f t="shared" si="4"/>
        <v>Active</v>
      </c>
      <c r="N11" s="24"/>
      <c r="O11" s="24"/>
      <c r="P11" s="24"/>
      <c r="Q11" s="24"/>
      <c r="R11" s="24"/>
      <c r="S11" s="24"/>
      <c r="T11" s="24"/>
      <c r="U11" s="24"/>
    </row>
    <row r="12">
      <c r="A12" s="13" t="s">
        <v>84</v>
      </c>
      <c r="B12" s="14">
        <v>7.70432534E8</v>
      </c>
      <c r="C12" s="13" t="s">
        <v>85</v>
      </c>
      <c r="D12" s="14">
        <v>7.02240576E8</v>
      </c>
      <c r="E12" s="3"/>
      <c r="F12" s="25">
        <v>300000.0</v>
      </c>
      <c r="G12" s="28">
        <v>30.0</v>
      </c>
      <c r="H12" s="26">
        <f t="shared" si="1"/>
        <v>90000</v>
      </c>
      <c r="I12" s="31">
        <f t="shared" si="5"/>
        <v>410000</v>
      </c>
      <c r="J12" s="26">
        <f t="shared" si="6"/>
        <v>13666.66667</v>
      </c>
      <c r="K12" s="27">
        <v>45904.0</v>
      </c>
      <c r="L12" s="32">
        <v>45965.0</v>
      </c>
      <c r="M12" s="13" t="s">
        <v>120</v>
      </c>
      <c r="N12" s="24"/>
      <c r="O12" s="24"/>
      <c r="P12" s="24"/>
      <c r="Q12" s="24"/>
      <c r="R12" s="24"/>
      <c r="S12" s="24"/>
      <c r="T12" s="24"/>
      <c r="U12" s="24"/>
    </row>
    <row r="13">
      <c r="A13" s="13" t="s">
        <v>121</v>
      </c>
      <c r="B13" s="14">
        <v>7.55459196E8</v>
      </c>
      <c r="C13" s="13" t="s">
        <v>122</v>
      </c>
      <c r="D13" s="14">
        <v>7.45815074E8</v>
      </c>
      <c r="E13" s="13" t="s">
        <v>123</v>
      </c>
      <c r="F13" s="26">
        <v>400000.0</v>
      </c>
      <c r="G13" s="26">
        <v>30.0</v>
      </c>
      <c r="H13" s="26">
        <f t="shared" si="1"/>
        <v>120000</v>
      </c>
      <c r="I13" s="26">
        <f t="shared" ref="I13:I15" si="7">F13*(1+0.3)^(G13/30)</f>
        <v>520000</v>
      </c>
      <c r="J13" s="26">
        <f>Round(I13/G13,-2)</f>
        <v>17300</v>
      </c>
      <c r="K13" s="29">
        <v>45771.0</v>
      </c>
      <c r="L13" s="30">
        <v>45801.0</v>
      </c>
      <c r="M13" s="13" t="str">
        <f t="shared" ref="M13:M15" si="8">IF(TODAY()&gt;L13,"Overdue", IF(I13=0, "Cleared", "Active"))</f>
        <v>Overdue</v>
      </c>
      <c r="N13" s="24"/>
      <c r="O13" s="24"/>
      <c r="P13" s="24"/>
      <c r="Q13" s="24"/>
      <c r="R13" s="24"/>
      <c r="S13" s="24"/>
      <c r="T13" s="24"/>
      <c r="U13" s="24"/>
    </row>
    <row r="14">
      <c r="A14" s="3" t="s">
        <v>124</v>
      </c>
      <c r="B14" s="33">
        <v>7.45235191E8</v>
      </c>
      <c r="C14" s="13" t="s">
        <v>75</v>
      </c>
      <c r="D14" s="14">
        <v>7.53001143E8</v>
      </c>
      <c r="E14" s="13" t="s">
        <v>5</v>
      </c>
      <c r="F14" s="26">
        <v>100000.0</v>
      </c>
      <c r="G14" s="14">
        <v>30.0</v>
      </c>
      <c r="H14" s="26">
        <f t="shared" si="1"/>
        <v>30000</v>
      </c>
      <c r="I14" s="26">
        <f t="shared" si="7"/>
        <v>130000</v>
      </c>
      <c r="J14" s="26">
        <f t="shared" ref="J14:J16" si="9">I14/G14</f>
        <v>4333.333333</v>
      </c>
      <c r="K14" s="29">
        <v>45805.0</v>
      </c>
      <c r="L14" s="30">
        <v>45836.0</v>
      </c>
      <c r="M14" s="13" t="str">
        <f t="shared" si="8"/>
        <v>Overdue</v>
      </c>
      <c r="N14" s="24"/>
      <c r="O14" s="24"/>
      <c r="P14" s="24"/>
      <c r="Q14" s="24"/>
      <c r="R14" s="24"/>
      <c r="S14" s="24"/>
      <c r="T14" s="24"/>
      <c r="U14" s="24"/>
    </row>
    <row r="15" hidden="1">
      <c r="A15" s="3" t="s">
        <v>125</v>
      </c>
      <c r="B15" s="33">
        <v>7.68177586E8</v>
      </c>
      <c r="C15" s="3" t="s">
        <v>126</v>
      </c>
      <c r="D15" s="33">
        <v>7.05778993E8</v>
      </c>
      <c r="E15" s="3" t="s">
        <v>26</v>
      </c>
      <c r="F15" s="34">
        <v>300000.0</v>
      </c>
      <c r="G15" s="34">
        <v>30.0</v>
      </c>
      <c r="H15" s="26">
        <f t="shared" si="1"/>
        <v>90000</v>
      </c>
      <c r="I15" s="26">
        <f t="shared" si="7"/>
        <v>390000</v>
      </c>
      <c r="J15" s="26">
        <f t="shared" si="9"/>
        <v>13000</v>
      </c>
      <c r="K15" s="27">
        <v>45947.0</v>
      </c>
      <c r="L15" s="32">
        <v>45978.0</v>
      </c>
      <c r="M15" s="13" t="str">
        <f t="shared" si="8"/>
        <v>Active</v>
      </c>
      <c r="N15" s="24"/>
      <c r="O15" s="24"/>
      <c r="P15" s="24"/>
      <c r="Q15" s="24"/>
      <c r="R15" s="24"/>
      <c r="S15" s="24"/>
      <c r="T15" s="24"/>
      <c r="U15" s="24"/>
    </row>
    <row r="16">
      <c r="A16" s="35" t="s">
        <v>86</v>
      </c>
      <c r="B16" s="36">
        <v>7.71559408E8</v>
      </c>
      <c r="C16" s="35"/>
      <c r="D16" s="35"/>
      <c r="E16" s="35"/>
      <c r="F16" s="36">
        <v>400000.0</v>
      </c>
      <c r="G16" s="36">
        <v>30.0</v>
      </c>
      <c r="H16" s="37">
        <f t="shared" si="1"/>
        <v>120000</v>
      </c>
      <c r="I16" s="38">
        <v>400000.0</v>
      </c>
      <c r="J16" s="37">
        <f t="shared" si="9"/>
        <v>13333.33333</v>
      </c>
      <c r="K16" s="39">
        <v>45797.0</v>
      </c>
      <c r="L16" s="40">
        <v>45828.0</v>
      </c>
      <c r="M16" s="41" t="s">
        <v>120</v>
      </c>
      <c r="N16" s="42"/>
      <c r="O16" s="42"/>
      <c r="P16" s="42"/>
      <c r="Q16" s="42"/>
      <c r="R16" s="42"/>
      <c r="S16" s="42"/>
      <c r="T16" s="42"/>
      <c r="U16" s="42"/>
    </row>
    <row r="17">
      <c r="A17" s="43" t="s">
        <v>127</v>
      </c>
      <c r="B17" s="44">
        <v>7.4574254E8</v>
      </c>
      <c r="C17" s="45"/>
      <c r="D17" s="44">
        <v>7.08722576E8</v>
      </c>
      <c r="E17" s="43" t="s">
        <v>128</v>
      </c>
      <c r="F17" s="31">
        <v>140000.0</v>
      </c>
      <c r="G17" s="31">
        <v>30.0</v>
      </c>
      <c r="H17" s="31">
        <f t="shared" si="1"/>
        <v>42000</v>
      </c>
      <c r="I17" s="31">
        <f t="shared" ref="I17:I25" si="10">F17*(1+0.3)^(G17/30)</f>
        <v>182000</v>
      </c>
      <c r="J17" s="31">
        <f>Round(I17/G17,-2)</f>
        <v>6100</v>
      </c>
      <c r="K17" s="46">
        <v>45987.0</v>
      </c>
      <c r="L17" s="46">
        <v>45683.0</v>
      </c>
      <c r="M17" s="43" t="str">
        <f t="shared" ref="M17:M18" si="11">IF(TODAY()&gt;L17,"Overdue", IF(I17=0, "Cleared", "Active"))</f>
        <v>Overdue</v>
      </c>
      <c r="N17" s="24"/>
      <c r="O17" s="24"/>
      <c r="P17" s="24"/>
      <c r="Q17" s="24"/>
      <c r="R17" s="24"/>
      <c r="S17" s="24"/>
      <c r="T17" s="24"/>
      <c r="U17" s="24"/>
    </row>
    <row r="18">
      <c r="A18" s="3" t="s">
        <v>129</v>
      </c>
      <c r="B18" s="33">
        <v>7.4127759E8</v>
      </c>
      <c r="C18" s="3" t="s">
        <v>130</v>
      </c>
      <c r="D18" s="33">
        <v>7.09263128E8</v>
      </c>
      <c r="E18" s="3" t="s">
        <v>131</v>
      </c>
      <c r="F18" s="47">
        <v>500000.0</v>
      </c>
      <c r="G18" s="48">
        <v>30.0</v>
      </c>
      <c r="H18" s="26">
        <f t="shared" si="1"/>
        <v>150000</v>
      </c>
      <c r="I18" s="26">
        <f t="shared" si="10"/>
        <v>650000</v>
      </c>
      <c r="J18" s="25" t="s">
        <v>132</v>
      </c>
      <c r="K18" s="29">
        <v>45819.0</v>
      </c>
      <c r="L18" s="30">
        <v>45849.0</v>
      </c>
      <c r="M18" s="13" t="str">
        <f t="shared" si="11"/>
        <v>Overdue</v>
      </c>
      <c r="N18" s="24"/>
      <c r="O18" s="24"/>
      <c r="P18" s="24"/>
      <c r="Q18" s="24"/>
      <c r="R18" s="24"/>
      <c r="S18" s="24"/>
      <c r="T18" s="24"/>
      <c r="U18" s="24"/>
    </row>
    <row r="19">
      <c r="A19" s="41" t="s">
        <v>41</v>
      </c>
      <c r="B19" s="49">
        <v>7.40841609E8</v>
      </c>
      <c r="C19" s="41" t="s">
        <v>42</v>
      </c>
      <c r="D19" s="49">
        <v>7.52660257E8</v>
      </c>
      <c r="E19" s="41" t="s">
        <v>26</v>
      </c>
      <c r="F19" s="37">
        <v>100000.0</v>
      </c>
      <c r="G19" s="37">
        <v>30.0</v>
      </c>
      <c r="H19" s="37">
        <f t="shared" si="1"/>
        <v>30000</v>
      </c>
      <c r="I19" s="37">
        <f t="shared" si="10"/>
        <v>130000</v>
      </c>
      <c r="J19" s="37">
        <f t="shared" ref="J19:J20" si="12">I19/G19</f>
        <v>4333.333333</v>
      </c>
      <c r="K19" s="40">
        <v>45745.0</v>
      </c>
      <c r="L19" s="40">
        <v>45776.0</v>
      </c>
      <c r="M19" s="41" t="s">
        <v>120</v>
      </c>
      <c r="N19" s="42"/>
      <c r="O19" s="42"/>
      <c r="P19" s="42"/>
      <c r="Q19" s="42"/>
      <c r="R19" s="42"/>
      <c r="S19" s="42"/>
      <c r="T19" s="42"/>
      <c r="U19" s="42"/>
    </row>
    <row r="20">
      <c r="A20" s="3" t="s">
        <v>133</v>
      </c>
      <c r="B20" s="33">
        <v>7.06052465E8</v>
      </c>
      <c r="C20" s="3"/>
      <c r="D20" s="3"/>
      <c r="E20" s="50" t="s">
        <v>71</v>
      </c>
      <c r="F20" s="47">
        <v>840000.0</v>
      </c>
      <c r="G20" s="33">
        <v>60.0</v>
      </c>
      <c r="H20" s="26">
        <f t="shared" si="1"/>
        <v>579600</v>
      </c>
      <c r="I20" s="26">
        <f t="shared" si="10"/>
        <v>1419600</v>
      </c>
      <c r="J20" s="26">
        <f t="shared" si="12"/>
        <v>23660</v>
      </c>
      <c r="K20" s="29">
        <v>45825.0</v>
      </c>
      <c r="L20" s="30">
        <v>45917.0</v>
      </c>
      <c r="M20" s="13" t="str">
        <f t="shared" ref="M20:M25" si="13">IF(TODAY()&gt;L20,"Overdue", IF(I20=0, "Cleared", "Active"))</f>
        <v>Overdue</v>
      </c>
      <c r="N20" s="24"/>
      <c r="O20" s="24"/>
      <c r="P20" s="24"/>
      <c r="Q20" s="24"/>
      <c r="R20" s="24"/>
      <c r="S20" s="24"/>
      <c r="T20" s="24"/>
      <c r="U20" s="24"/>
    </row>
    <row r="21">
      <c r="A21" s="13" t="s">
        <v>134</v>
      </c>
      <c r="B21" s="13" t="s">
        <v>135</v>
      </c>
      <c r="C21" s="13" t="s">
        <v>136</v>
      </c>
      <c r="D21" s="26" t="s">
        <v>137</v>
      </c>
      <c r="E21" s="13" t="s">
        <v>138</v>
      </c>
      <c r="F21" s="26">
        <v>120000.0</v>
      </c>
      <c r="G21" s="26">
        <v>30.0</v>
      </c>
      <c r="H21" s="26">
        <f t="shared" si="1"/>
        <v>36000</v>
      </c>
      <c r="I21" s="26">
        <f t="shared" si="10"/>
        <v>156000</v>
      </c>
      <c r="J21" s="26">
        <f t="shared" ref="J21:J25" si="14">Round(I21/G21,-2)</f>
        <v>5200</v>
      </c>
      <c r="K21" s="29">
        <v>45768.0</v>
      </c>
      <c r="L21" s="30">
        <v>45798.0</v>
      </c>
      <c r="M21" s="13" t="str">
        <f t="shared" si="13"/>
        <v>Overdue</v>
      </c>
      <c r="N21" s="24"/>
      <c r="O21" s="24"/>
      <c r="P21" s="24"/>
      <c r="Q21" s="24"/>
      <c r="R21" s="24"/>
      <c r="S21" s="24"/>
      <c r="T21" s="24"/>
      <c r="U21" s="24"/>
    </row>
    <row r="22">
      <c r="A22" s="13" t="s">
        <v>139</v>
      </c>
      <c r="B22" s="14">
        <v>7.60321528E8</v>
      </c>
      <c r="C22" s="13" t="s">
        <v>140</v>
      </c>
      <c r="D22" s="14">
        <v>7.83187E8</v>
      </c>
      <c r="E22" s="13" t="s">
        <v>57</v>
      </c>
      <c r="F22" s="26">
        <v>200000.0</v>
      </c>
      <c r="G22" s="26">
        <v>30.0</v>
      </c>
      <c r="H22" s="26">
        <f t="shared" si="1"/>
        <v>60000</v>
      </c>
      <c r="I22" s="26">
        <f t="shared" si="10"/>
        <v>260000</v>
      </c>
      <c r="J22" s="26">
        <f t="shared" si="14"/>
        <v>8700</v>
      </c>
      <c r="K22" s="29">
        <v>45706.0</v>
      </c>
      <c r="L22" s="29">
        <v>45735.0</v>
      </c>
      <c r="M22" s="13" t="str">
        <f t="shared" si="13"/>
        <v>Overdue</v>
      </c>
      <c r="N22" s="24"/>
      <c r="O22" s="24"/>
      <c r="P22" s="24"/>
      <c r="Q22" s="24"/>
      <c r="R22" s="24"/>
      <c r="S22" s="24"/>
      <c r="T22" s="24"/>
      <c r="U22" s="24"/>
    </row>
    <row r="23">
      <c r="A23" s="13" t="s">
        <v>141</v>
      </c>
      <c r="B23" s="14">
        <v>7.51433725E8</v>
      </c>
      <c r="C23" s="13" t="s">
        <v>142</v>
      </c>
      <c r="D23" s="14">
        <v>7.50978235E8</v>
      </c>
      <c r="E23" s="13" t="s">
        <v>143</v>
      </c>
      <c r="F23" s="26">
        <v>300000.0</v>
      </c>
      <c r="G23" s="14">
        <v>30.0</v>
      </c>
      <c r="H23" s="26">
        <f t="shared" si="1"/>
        <v>90000</v>
      </c>
      <c r="I23" s="26">
        <f t="shared" si="10"/>
        <v>390000</v>
      </c>
      <c r="J23" s="26">
        <f t="shared" si="14"/>
        <v>13000</v>
      </c>
      <c r="K23" s="29">
        <v>45770.0</v>
      </c>
      <c r="L23" s="30">
        <v>45800.0</v>
      </c>
      <c r="M23" s="13" t="str">
        <f t="shared" si="13"/>
        <v>Overdue</v>
      </c>
      <c r="N23" s="24"/>
      <c r="O23" s="24"/>
      <c r="P23" s="24"/>
      <c r="Q23" s="24"/>
      <c r="R23" s="24"/>
      <c r="S23" s="24"/>
      <c r="T23" s="24"/>
      <c r="U23" s="24"/>
    </row>
    <row r="24">
      <c r="A24" s="13" t="s">
        <v>144</v>
      </c>
      <c r="B24" s="14">
        <v>7.55502862E8</v>
      </c>
      <c r="C24" s="13" t="s">
        <v>145</v>
      </c>
      <c r="D24" s="14">
        <v>7.65400996E8</v>
      </c>
      <c r="E24" s="13" t="s">
        <v>26</v>
      </c>
      <c r="F24" s="26">
        <v>400000.0</v>
      </c>
      <c r="G24" s="26">
        <v>30.0</v>
      </c>
      <c r="H24" s="26">
        <f t="shared" si="1"/>
        <v>120000</v>
      </c>
      <c r="I24" s="26">
        <f t="shared" si="10"/>
        <v>520000</v>
      </c>
      <c r="J24" s="26">
        <f t="shared" si="14"/>
        <v>17300</v>
      </c>
      <c r="K24" s="29">
        <v>45773.0</v>
      </c>
      <c r="L24" s="30">
        <v>45803.0</v>
      </c>
      <c r="M24" s="13" t="str">
        <f t="shared" si="13"/>
        <v>Overdue</v>
      </c>
      <c r="N24" s="24"/>
      <c r="O24" s="24"/>
      <c r="P24" s="24"/>
      <c r="Q24" s="24"/>
      <c r="R24" s="24"/>
      <c r="S24" s="24"/>
      <c r="T24" s="24"/>
      <c r="U24" s="24"/>
    </row>
    <row r="25">
      <c r="A25" s="13" t="s">
        <v>146</v>
      </c>
      <c r="B25" s="14">
        <v>7.75239025E8</v>
      </c>
      <c r="C25" s="13" t="s">
        <v>147</v>
      </c>
      <c r="D25" s="14">
        <v>7.0063951E8</v>
      </c>
      <c r="E25" s="13" t="s">
        <v>5</v>
      </c>
      <c r="F25" s="26">
        <v>115000.0</v>
      </c>
      <c r="G25" s="26">
        <v>30.0</v>
      </c>
      <c r="H25" s="26">
        <f t="shared" si="1"/>
        <v>34500</v>
      </c>
      <c r="I25" s="26">
        <f t="shared" si="10"/>
        <v>149500</v>
      </c>
      <c r="J25" s="26">
        <f t="shared" si="14"/>
        <v>5000</v>
      </c>
      <c r="K25" s="29">
        <v>45716.0</v>
      </c>
      <c r="L25" s="29">
        <v>45775.0</v>
      </c>
      <c r="M25" s="13" t="str">
        <f t="shared" si="13"/>
        <v>Overdue</v>
      </c>
      <c r="N25" s="24"/>
      <c r="O25" s="24"/>
      <c r="P25" s="24"/>
      <c r="Q25" s="24"/>
      <c r="R25" s="24"/>
      <c r="S25" s="24"/>
      <c r="T25" s="24"/>
      <c r="U25" s="24"/>
    </row>
    <row r="26">
      <c r="A26" s="41" t="s">
        <v>48</v>
      </c>
      <c r="B26" s="49">
        <v>7.8703763E8</v>
      </c>
      <c r="C26" s="41" t="s">
        <v>49</v>
      </c>
      <c r="D26" s="49">
        <v>7.74033851E8</v>
      </c>
      <c r="E26" s="41" t="s">
        <v>45</v>
      </c>
      <c r="F26" s="37">
        <v>150000.0</v>
      </c>
      <c r="G26" s="37">
        <v>30.0</v>
      </c>
      <c r="H26" s="37">
        <f t="shared" si="1"/>
        <v>45000</v>
      </c>
      <c r="I26" s="38">
        <v>195000.0</v>
      </c>
      <c r="J26" s="37">
        <f t="shared" ref="J26:J27" si="15">I26/G26</f>
        <v>6500</v>
      </c>
      <c r="K26" s="40">
        <v>45762.0</v>
      </c>
      <c r="L26" s="51" t="s">
        <v>148</v>
      </c>
      <c r="M26" s="41" t="s">
        <v>120</v>
      </c>
      <c r="N26" s="42"/>
      <c r="O26" s="42"/>
      <c r="P26" s="42"/>
      <c r="Q26" s="42"/>
      <c r="R26" s="42"/>
      <c r="S26" s="42"/>
      <c r="T26" s="42"/>
      <c r="U26" s="42"/>
    </row>
    <row r="27">
      <c r="A27" s="3" t="s">
        <v>149</v>
      </c>
      <c r="B27" s="33">
        <v>7.57345889E8</v>
      </c>
      <c r="C27" s="3" t="s">
        <v>150</v>
      </c>
      <c r="D27" s="33">
        <v>7.05458308E8</v>
      </c>
      <c r="E27" s="3" t="s">
        <v>151</v>
      </c>
      <c r="F27" s="48">
        <v>1000000.0</v>
      </c>
      <c r="G27" s="33">
        <v>30.0</v>
      </c>
      <c r="H27" s="26">
        <f t="shared" si="1"/>
        <v>300000</v>
      </c>
      <c r="I27" s="26">
        <f t="shared" ref="I27:I30" si="16">F27*(1+0.3)^(G27/30)</f>
        <v>1300000</v>
      </c>
      <c r="J27" s="26">
        <f t="shared" si="15"/>
        <v>43333.33333</v>
      </c>
      <c r="K27" s="30">
        <v>45807.0</v>
      </c>
      <c r="L27" s="29">
        <v>45838.0</v>
      </c>
      <c r="M27" s="13" t="str">
        <f t="shared" ref="M27:M30" si="17">IF(TODAY()&gt;L27,"Overdue", IF(I27=0, "Cleared", "Active"))</f>
        <v>Overdue</v>
      </c>
      <c r="N27" s="24"/>
      <c r="O27" s="24"/>
      <c r="P27" s="24"/>
      <c r="Q27" s="24"/>
      <c r="R27" s="24"/>
      <c r="S27" s="24"/>
      <c r="T27" s="24"/>
      <c r="U27" s="24"/>
    </row>
    <row r="28">
      <c r="A28" s="13" t="s">
        <v>152</v>
      </c>
      <c r="B28" s="14">
        <v>7.06758384E8</v>
      </c>
      <c r="C28" s="13" t="s">
        <v>153</v>
      </c>
      <c r="D28" s="14">
        <v>7.43815208E8</v>
      </c>
      <c r="E28" s="13" t="s">
        <v>26</v>
      </c>
      <c r="F28" s="26">
        <v>150000.0</v>
      </c>
      <c r="G28" s="26">
        <v>30.0</v>
      </c>
      <c r="H28" s="26">
        <f t="shared" si="1"/>
        <v>45000</v>
      </c>
      <c r="I28" s="26">
        <f t="shared" si="16"/>
        <v>195000</v>
      </c>
      <c r="J28" s="26">
        <f t="shared" ref="J28:J29" si="18">Round(I28/G28,-2)</f>
        <v>6500</v>
      </c>
      <c r="K28" s="29">
        <v>45773.0</v>
      </c>
      <c r="L28" s="30">
        <v>45803.0</v>
      </c>
      <c r="M28" s="13" t="str">
        <f t="shared" si="17"/>
        <v>Overdue</v>
      </c>
      <c r="N28" s="24"/>
      <c r="O28" s="24"/>
      <c r="P28" s="24"/>
      <c r="Q28" s="24"/>
      <c r="R28" s="24"/>
      <c r="S28" s="24"/>
      <c r="T28" s="24"/>
      <c r="U28" s="24"/>
    </row>
    <row r="29">
      <c r="A29" s="3" t="s">
        <v>154</v>
      </c>
      <c r="B29" s="33">
        <v>7.44300579E8</v>
      </c>
      <c r="C29" s="3" t="s">
        <v>155</v>
      </c>
      <c r="D29" s="3" t="s">
        <v>156</v>
      </c>
      <c r="E29" s="3" t="s">
        <v>26</v>
      </c>
      <c r="F29" s="33">
        <v>200000.0</v>
      </c>
      <c r="G29" s="47">
        <v>30.0</v>
      </c>
      <c r="H29" s="26">
        <f t="shared" si="1"/>
        <v>60000</v>
      </c>
      <c r="I29" s="26">
        <f t="shared" si="16"/>
        <v>260000</v>
      </c>
      <c r="J29" s="26">
        <f t="shared" si="18"/>
        <v>8700</v>
      </c>
      <c r="K29" s="30">
        <v>45796.0</v>
      </c>
      <c r="L29" s="29">
        <v>45827.0</v>
      </c>
      <c r="M29" s="13" t="str">
        <f t="shared" si="17"/>
        <v>Overdue</v>
      </c>
      <c r="N29" s="24"/>
      <c r="O29" s="24"/>
      <c r="P29" s="24"/>
      <c r="Q29" s="24"/>
      <c r="R29" s="24"/>
      <c r="S29" s="24"/>
      <c r="T29" s="24"/>
      <c r="U29" s="24"/>
    </row>
    <row r="30">
      <c r="A30" s="3" t="s">
        <v>157</v>
      </c>
      <c r="B30" s="33">
        <v>7.01968187E8</v>
      </c>
      <c r="C30" s="3" t="s">
        <v>158</v>
      </c>
      <c r="D30" s="33">
        <v>7.00688814E8</v>
      </c>
      <c r="E30" s="3" t="s">
        <v>131</v>
      </c>
      <c r="F30" s="47">
        <v>400000.0</v>
      </c>
      <c r="G30" s="33">
        <v>30.0</v>
      </c>
      <c r="H30" s="26">
        <f t="shared" si="1"/>
        <v>120000</v>
      </c>
      <c r="I30" s="26">
        <f t="shared" si="16"/>
        <v>520000</v>
      </c>
      <c r="J30" s="26">
        <f t="shared" ref="J30:J31" si="19">I30/G30</f>
        <v>17333.33333</v>
      </c>
      <c r="K30" s="29">
        <v>45819.0</v>
      </c>
      <c r="L30" s="30">
        <v>45849.0</v>
      </c>
      <c r="M30" s="13" t="str">
        <f t="shared" si="17"/>
        <v>Overdue</v>
      </c>
      <c r="N30" s="24"/>
      <c r="O30" s="24"/>
      <c r="P30" s="24"/>
      <c r="Q30" s="24"/>
      <c r="R30" s="24"/>
      <c r="S30" s="24"/>
      <c r="T30" s="24"/>
      <c r="U30" s="24"/>
    </row>
    <row r="31">
      <c r="A31" s="41" t="s">
        <v>43</v>
      </c>
      <c r="B31" s="49">
        <v>7.02046578E8</v>
      </c>
      <c r="C31" s="41" t="s">
        <v>44</v>
      </c>
      <c r="D31" s="49">
        <v>7.0195921E8</v>
      </c>
      <c r="E31" s="41" t="s">
        <v>45</v>
      </c>
      <c r="F31" s="37">
        <v>400000.0</v>
      </c>
      <c r="G31" s="37">
        <v>30.0</v>
      </c>
      <c r="H31" s="37">
        <f t="shared" si="1"/>
        <v>120000</v>
      </c>
      <c r="I31" s="37">
        <v>0.0</v>
      </c>
      <c r="J31" s="37">
        <f t="shared" si="19"/>
        <v>0</v>
      </c>
      <c r="K31" s="40">
        <v>45763.0</v>
      </c>
      <c r="L31" s="39">
        <v>45793.0</v>
      </c>
      <c r="M31" s="41" t="s">
        <v>120</v>
      </c>
      <c r="N31" s="42"/>
      <c r="O31" s="42"/>
      <c r="P31" s="42"/>
      <c r="Q31" s="42"/>
      <c r="R31" s="42"/>
      <c r="S31" s="42"/>
      <c r="T31" s="42"/>
      <c r="U31" s="42"/>
    </row>
    <row r="32">
      <c r="A32" s="43" t="s">
        <v>159</v>
      </c>
      <c r="B32" s="44">
        <v>7.85819584E8</v>
      </c>
      <c r="C32" s="43" t="s">
        <v>160</v>
      </c>
      <c r="D32" s="44">
        <v>7.56175442E8</v>
      </c>
      <c r="E32" s="43" t="s">
        <v>45</v>
      </c>
      <c r="F32" s="22">
        <v>500000.0</v>
      </c>
      <c r="G32" s="22">
        <v>60.0</v>
      </c>
      <c r="H32" s="31">
        <f t="shared" si="1"/>
        <v>345000</v>
      </c>
      <c r="I32" s="31">
        <f t="shared" ref="I32:I33" si="20">F32*(1+0.3)^(G32/30)</f>
        <v>845000</v>
      </c>
      <c r="J32" s="31">
        <f t="shared" ref="J32:J33" si="21">Round(I32/G32,-2)</f>
        <v>14100</v>
      </c>
      <c r="K32" s="52">
        <v>45852.0</v>
      </c>
      <c r="L32" s="53">
        <v>45883.0</v>
      </c>
      <c r="M32" s="43" t="str">
        <f t="shared" ref="M32:M33" si="22">IF(TODAY()&gt;L32,"Overdue", IF(I32=0, "Cleared", "Active"))</f>
        <v>Overdue</v>
      </c>
      <c r="N32" s="24"/>
      <c r="O32" s="24"/>
      <c r="P32" s="24"/>
      <c r="Q32" s="24"/>
      <c r="R32" s="24"/>
      <c r="S32" s="24"/>
      <c r="T32" s="24"/>
      <c r="U32" s="24"/>
    </row>
    <row r="33">
      <c r="A33" s="43" t="s">
        <v>161</v>
      </c>
      <c r="B33" s="44">
        <v>7.45683778E8</v>
      </c>
      <c r="C33" s="43" t="s">
        <v>162</v>
      </c>
      <c r="D33" s="44" t="s">
        <v>163</v>
      </c>
      <c r="E33" s="43" t="s">
        <v>45</v>
      </c>
      <c r="F33" s="22">
        <v>300000.0</v>
      </c>
      <c r="G33" s="31">
        <v>30.0</v>
      </c>
      <c r="H33" s="31">
        <f t="shared" si="1"/>
        <v>90000</v>
      </c>
      <c r="I33" s="31">
        <f t="shared" si="20"/>
        <v>390000</v>
      </c>
      <c r="J33" s="31">
        <f t="shared" si="21"/>
        <v>13000</v>
      </c>
      <c r="K33" s="53">
        <v>45484.0</v>
      </c>
      <c r="L33" s="52">
        <v>45880.0</v>
      </c>
      <c r="M33" s="43" t="str">
        <f t="shared" si="22"/>
        <v>Overdue</v>
      </c>
      <c r="N33" s="24"/>
      <c r="O33" s="24"/>
      <c r="P33" s="24"/>
      <c r="Q33" s="24"/>
      <c r="R33" s="24"/>
      <c r="S33" s="24"/>
      <c r="T33" s="24"/>
      <c r="U33" s="24"/>
    </row>
    <row r="34">
      <c r="A34" s="41" t="s">
        <v>74</v>
      </c>
      <c r="B34" s="49">
        <v>7.59839432E8</v>
      </c>
      <c r="C34" s="41" t="s">
        <v>75</v>
      </c>
      <c r="D34" s="49">
        <v>7.53001143E8</v>
      </c>
      <c r="E34" s="41" t="s">
        <v>5</v>
      </c>
      <c r="F34" s="37">
        <v>100000.0</v>
      </c>
      <c r="G34" s="37">
        <v>30.0</v>
      </c>
      <c r="H34" s="37">
        <f t="shared" si="1"/>
        <v>30000</v>
      </c>
      <c r="I34" s="37">
        <v>0.0</v>
      </c>
      <c r="J34" s="37">
        <f>I34/G34</f>
        <v>0</v>
      </c>
      <c r="K34" s="40">
        <v>45720.0</v>
      </c>
      <c r="L34" s="39">
        <v>45781.0</v>
      </c>
      <c r="M34" s="41" t="s">
        <v>120</v>
      </c>
      <c r="N34" s="42"/>
      <c r="O34" s="42"/>
      <c r="P34" s="42"/>
      <c r="Q34" s="42"/>
      <c r="R34" s="42"/>
      <c r="S34" s="42"/>
      <c r="T34" s="42"/>
      <c r="U34" s="42"/>
    </row>
    <row r="35">
      <c r="A35" s="13" t="s">
        <v>164</v>
      </c>
      <c r="B35" s="14">
        <v>7.57589241E8</v>
      </c>
      <c r="C35" s="13" t="s">
        <v>165</v>
      </c>
      <c r="D35" s="14">
        <v>7.59051568E8</v>
      </c>
      <c r="E35" s="13" t="s">
        <v>23</v>
      </c>
      <c r="F35" s="26">
        <v>250000.0</v>
      </c>
      <c r="G35" s="26">
        <v>30.0</v>
      </c>
      <c r="H35" s="26">
        <f t="shared" si="1"/>
        <v>75000</v>
      </c>
      <c r="I35" s="26">
        <f t="shared" ref="I35:I56" si="23">F35*(1+0.3)^(G35/30)</f>
        <v>325000</v>
      </c>
      <c r="J35" s="26">
        <f t="shared" ref="J35:J46" si="24">Round(I35/G35,-2)</f>
        <v>10800</v>
      </c>
      <c r="K35" s="29">
        <v>45703.0</v>
      </c>
      <c r="L35" s="29">
        <v>45732.0</v>
      </c>
      <c r="M35" s="13" t="str">
        <f t="shared" ref="M35:M56" si="25">IF(TODAY()&gt;L35,"Overdue", IF(I35=0, "Cleared", "Active"))</f>
        <v>Overdue</v>
      </c>
      <c r="N35" s="24"/>
      <c r="O35" s="24"/>
      <c r="P35" s="24"/>
      <c r="Q35" s="24"/>
      <c r="R35" s="24"/>
      <c r="S35" s="24"/>
      <c r="T35" s="24"/>
      <c r="U35" s="24"/>
    </row>
    <row r="36">
      <c r="A36" s="13" t="s">
        <v>166</v>
      </c>
      <c r="B36" s="14">
        <v>7.57817374E8</v>
      </c>
      <c r="C36" s="13" t="s">
        <v>167</v>
      </c>
      <c r="D36" s="14">
        <v>7.08298119E8</v>
      </c>
      <c r="E36" s="13" t="s">
        <v>23</v>
      </c>
      <c r="F36" s="26">
        <v>100000.0</v>
      </c>
      <c r="G36" s="26">
        <v>30.0</v>
      </c>
      <c r="H36" s="26">
        <f t="shared" si="1"/>
        <v>30000</v>
      </c>
      <c r="I36" s="26">
        <f t="shared" si="23"/>
        <v>130000</v>
      </c>
      <c r="J36" s="26">
        <f t="shared" si="24"/>
        <v>4300</v>
      </c>
      <c r="K36" s="29">
        <v>45702.0</v>
      </c>
      <c r="L36" s="29">
        <v>45731.0</v>
      </c>
      <c r="M36" s="13" t="str">
        <f t="shared" si="25"/>
        <v>Overdue</v>
      </c>
      <c r="N36" s="24"/>
      <c r="O36" s="24"/>
      <c r="P36" s="24"/>
      <c r="Q36" s="24"/>
      <c r="R36" s="24"/>
      <c r="S36" s="24"/>
      <c r="T36" s="24"/>
      <c r="U36" s="24"/>
    </row>
    <row r="37">
      <c r="A37" s="13" t="s">
        <v>168</v>
      </c>
      <c r="B37" s="14">
        <v>7.51612906E8</v>
      </c>
      <c r="C37" s="13" t="s">
        <v>77</v>
      </c>
      <c r="D37" s="14">
        <v>7.51612906E8</v>
      </c>
      <c r="E37" s="13" t="s">
        <v>5</v>
      </c>
      <c r="F37" s="26">
        <v>60000.0</v>
      </c>
      <c r="G37" s="14">
        <v>30.0</v>
      </c>
      <c r="H37" s="26">
        <f t="shared" si="1"/>
        <v>18000</v>
      </c>
      <c r="I37" s="26">
        <f t="shared" si="23"/>
        <v>78000</v>
      </c>
      <c r="J37" s="26">
        <f t="shared" si="24"/>
        <v>2600</v>
      </c>
      <c r="K37" s="29">
        <v>45697.0</v>
      </c>
      <c r="L37" s="29">
        <v>45726.0</v>
      </c>
      <c r="M37" s="13" t="str">
        <f t="shared" si="25"/>
        <v>Overdue</v>
      </c>
      <c r="N37" s="24"/>
      <c r="O37" s="24"/>
      <c r="P37" s="24"/>
      <c r="Q37" s="24"/>
      <c r="R37" s="24"/>
      <c r="S37" s="24"/>
      <c r="T37" s="24"/>
      <c r="U37" s="24"/>
    </row>
    <row r="38">
      <c r="A38" s="13" t="s">
        <v>169</v>
      </c>
      <c r="B38" s="14">
        <v>7.06572321E8</v>
      </c>
      <c r="C38" s="13" t="s">
        <v>170</v>
      </c>
      <c r="D38" s="14">
        <v>7.55045469E8</v>
      </c>
      <c r="E38" s="13" t="s">
        <v>45</v>
      </c>
      <c r="F38" s="26">
        <v>100000.0</v>
      </c>
      <c r="G38" s="26">
        <v>30.0</v>
      </c>
      <c r="H38" s="26">
        <f t="shared" si="1"/>
        <v>30000</v>
      </c>
      <c r="I38" s="26">
        <f t="shared" si="23"/>
        <v>130000</v>
      </c>
      <c r="J38" s="26">
        <f t="shared" si="24"/>
        <v>4300</v>
      </c>
      <c r="K38" s="29">
        <v>45762.0</v>
      </c>
      <c r="L38" s="30">
        <v>45792.0</v>
      </c>
      <c r="M38" s="13" t="str">
        <f t="shared" si="25"/>
        <v>Overdue</v>
      </c>
      <c r="N38" s="24"/>
      <c r="O38" s="24"/>
      <c r="P38" s="24"/>
      <c r="Q38" s="24"/>
      <c r="R38" s="24"/>
      <c r="S38" s="24"/>
      <c r="T38" s="24"/>
      <c r="U38" s="24"/>
    </row>
    <row r="39" ht="15.0" customHeight="1">
      <c r="A39" s="13" t="s">
        <v>171</v>
      </c>
      <c r="B39" s="14">
        <v>7.88698799E8</v>
      </c>
      <c r="C39" s="13" t="s">
        <v>172</v>
      </c>
      <c r="D39" s="14">
        <v>7.7287314E8</v>
      </c>
      <c r="E39" s="13" t="s">
        <v>83</v>
      </c>
      <c r="F39" s="26">
        <v>120000.0</v>
      </c>
      <c r="G39" s="14">
        <v>30.0</v>
      </c>
      <c r="H39" s="26">
        <f t="shared" si="1"/>
        <v>36000</v>
      </c>
      <c r="I39" s="26">
        <f t="shared" si="23"/>
        <v>156000</v>
      </c>
      <c r="J39" s="26">
        <f t="shared" si="24"/>
        <v>5200</v>
      </c>
      <c r="K39" s="29">
        <v>45701.0</v>
      </c>
      <c r="L39" s="29">
        <v>45730.0</v>
      </c>
      <c r="M39" s="13" t="str">
        <f t="shared" si="25"/>
        <v>Overdue</v>
      </c>
      <c r="N39" s="24"/>
      <c r="O39" s="24"/>
      <c r="P39" s="24"/>
      <c r="Q39" s="24"/>
      <c r="R39" s="24"/>
      <c r="S39" s="24"/>
      <c r="T39" s="24"/>
      <c r="U39" s="24"/>
    </row>
    <row r="40">
      <c r="A40" s="13" t="s">
        <v>173</v>
      </c>
      <c r="B40" s="13" t="s">
        <v>174</v>
      </c>
      <c r="C40" s="13" t="s">
        <v>175</v>
      </c>
      <c r="D40" s="14">
        <v>7.86420808E8</v>
      </c>
      <c r="E40" s="13" t="s">
        <v>57</v>
      </c>
      <c r="F40" s="26">
        <v>130000.0</v>
      </c>
      <c r="G40" s="26">
        <v>30.0</v>
      </c>
      <c r="H40" s="26">
        <f t="shared" si="1"/>
        <v>39000</v>
      </c>
      <c r="I40" s="26">
        <f t="shared" si="23"/>
        <v>169000</v>
      </c>
      <c r="J40" s="26">
        <f t="shared" si="24"/>
        <v>5600</v>
      </c>
      <c r="K40" s="29">
        <v>45679.0</v>
      </c>
      <c r="L40" s="29">
        <v>45710.0</v>
      </c>
      <c r="M40" s="13" t="str">
        <f t="shared" si="25"/>
        <v>Overdue</v>
      </c>
      <c r="N40" s="24"/>
      <c r="O40" s="24"/>
      <c r="P40" s="24"/>
      <c r="Q40" s="24"/>
      <c r="R40" s="24"/>
      <c r="S40" s="24"/>
      <c r="T40" s="24"/>
      <c r="U40" s="24"/>
    </row>
    <row r="41">
      <c r="A41" s="13" t="s">
        <v>176</v>
      </c>
      <c r="B41" s="14">
        <v>7.89463383E8</v>
      </c>
      <c r="C41" s="13" t="s">
        <v>177</v>
      </c>
      <c r="D41" s="14">
        <v>7.72887338E8</v>
      </c>
      <c r="E41" s="13" t="s">
        <v>57</v>
      </c>
      <c r="F41" s="26">
        <v>100000.0</v>
      </c>
      <c r="G41" s="26">
        <v>30.0</v>
      </c>
      <c r="H41" s="26">
        <f t="shared" si="1"/>
        <v>30000</v>
      </c>
      <c r="I41" s="26">
        <f t="shared" si="23"/>
        <v>130000</v>
      </c>
      <c r="J41" s="26">
        <f t="shared" si="24"/>
        <v>4300</v>
      </c>
      <c r="K41" s="29">
        <v>45716.0</v>
      </c>
      <c r="L41" s="29">
        <v>45744.0</v>
      </c>
      <c r="M41" s="13" t="str">
        <f t="shared" si="25"/>
        <v>Overdue</v>
      </c>
      <c r="N41" s="54"/>
      <c r="O41" s="54"/>
      <c r="P41" s="54"/>
      <c r="Q41" s="54"/>
      <c r="R41" s="54"/>
      <c r="S41" s="54"/>
      <c r="T41" s="54"/>
      <c r="U41" s="54"/>
    </row>
    <row r="42">
      <c r="A42" s="13" t="s">
        <v>178</v>
      </c>
      <c r="B42" s="14">
        <v>7.4615514E8</v>
      </c>
      <c r="C42" s="13" t="s">
        <v>179</v>
      </c>
      <c r="D42" s="14">
        <v>7.80467144E8</v>
      </c>
      <c r="E42" s="13" t="s">
        <v>57</v>
      </c>
      <c r="F42" s="26">
        <v>150000.0</v>
      </c>
      <c r="G42" s="26">
        <v>30.0</v>
      </c>
      <c r="H42" s="26">
        <f t="shared" si="1"/>
        <v>45000</v>
      </c>
      <c r="I42" s="26">
        <f t="shared" si="23"/>
        <v>195000</v>
      </c>
      <c r="J42" s="26">
        <f t="shared" si="24"/>
        <v>6500</v>
      </c>
      <c r="K42" s="29">
        <v>45720.0</v>
      </c>
      <c r="L42" s="29">
        <v>45751.0</v>
      </c>
      <c r="M42" s="13" t="str">
        <f t="shared" si="25"/>
        <v>Overdue</v>
      </c>
      <c r="N42" s="24"/>
      <c r="O42" s="24"/>
      <c r="P42" s="24"/>
      <c r="Q42" s="24"/>
      <c r="R42" s="24"/>
      <c r="S42" s="24"/>
      <c r="T42" s="24"/>
      <c r="U42" s="24"/>
    </row>
    <row r="43">
      <c r="A43" s="13" t="s">
        <v>180</v>
      </c>
      <c r="B43" s="26">
        <v>7.02627336E8</v>
      </c>
      <c r="C43" s="3"/>
      <c r="D43" s="26" t="s">
        <v>181</v>
      </c>
      <c r="E43" s="13" t="s">
        <v>182</v>
      </c>
      <c r="F43" s="26">
        <v>400000.0</v>
      </c>
      <c r="G43" s="14">
        <v>30.0</v>
      </c>
      <c r="H43" s="26">
        <f t="shared" si="1"/>
        <v>120000</v>
      </c>
      <c r="I43" s="26">
        <f t="shared" si="23"/>
        <v>520000</v>
      </c>
      <c r="J43" s="26">
        <f t="shared" si="24"/>
        <v>17300</v>
      </c>
      <c r="K43" s="30">
        <v>45781.0</v>
      </c>
      <c r="L43" s="29">
        <v>45813.0</v>
      </c>
      <c r="M43" s="13" t="str">
        <f t="shared" si="25"/>
        <v>Overdue</v>
      </c>
      <c r="N43" s="55"/>
      <c r="O43" s="55"/>
      <c r="P43" s="55"/>
      <c r="Q43" s="55"/>
      <c r="R43" s="55"/>
      <c r="S43" s="55"/>
      <c r="T43" s="55"/>
      <c r="U43" s="55"/>
    </row>
    <row r="44">
      <c r="A44" s="13" t="s">
        <v>183</v>
      </c>
      <c r="B44" s="14">
        <v>7.77829094E8</v>
      </c>
      <c r="C44" s="13" t="s">
        <v>184</v>
      </c>
      <c r="D44" s="14">
        <v>7.52998767E8</v>
      </c>
      <c r="E44" s="13" t="s">
        <v>26</v>
      </c>
      <c r="F44" s="26">
        <v>947000.0</v>
      </c>
      <c r="G44" s="26">
        <v>60.0</v>
      </c>
      <c r="H44" s="26">
        <f t="shared" si="1"/>
        <v>653430</v>
      </c>
      <c r="I44" s="26">
        <f t="shared" si="23"/>
        <v>1600430</v>
      </c>
      <c r="J44" s="26">
        <f t="shared" si="24"/>
        <v>26700</v>
      </c>
      <c r="K44" s="30">
        <v>45780.0</v>
      </c>
      <c r="L44" s="29">
        <v>45811.0</v>
      </c>
      <c r="M44" s="13" t="str">
        <f t="shared" si="25"/>
        <v>Overdue</v>
      </c>
      <c r="N44" s="24"/>
      <c r="O44" s="24"/>
      <c r="P44" s="24"/>
      <c r="Q44" s="24"/>
      <c r="R44" s="24"/>
      <c r="S44" s="24"/>
      <c r="T44" s="24"/>
      <c r="U44" s="24"/>
    </row>
    <row r="45">
      <c r="A45" s="41" t="s">
        <v>78</v>
      </c>
      <c r="B45" s="41" t="s">
        <v>79</v>
      </c>
      <c r="C45" s="41" t="s">
        <v>80</v>
      </c>
      <c r="D45" s="49">
        <v>7.58257049E8</v>
      </c>
      <c r="E45" s="41" t="s">
        <v>5</v>
      </c>
      <c r="F45" s="37">
        <v>150000.0</v>
      </c>
      <c r="G45" s="49">
        <v>30.0</v>
      </c>
      <c r="H45" s="37">
        <f t="shared" si="1"/>
        <v>45000</v>
      </c>
      <c r="I45" s="37">
        <f t="shared" si="23"/>
        <v>195000</v>
      </c>
      <c r="J45" s="37">
        <f t="shared" si="24"/>
        <v>6500</v>
      </c>
      <c r="K45" s="40">
        <v>45679.0</v>
      </c>
      <c r="L45" s="40">
        <v>45710.0</v>
      </c>
      <c r="M45" s="41" t="str">
        <f t="shared" si="25"/>
        <v>Overdue</v>
      </c>
      <c r="N45" s="42"/>
      <c r="O45" s="42"/>
      <c r="P45" s="42"/>
      <c r="Q45" s="42"/>
      <c r="R45" s="42"/>
      <c r="S45" s="42"/>
      <c r="T45" s="42"/>
      <c r="U45" s="42"/>
    </row>
    <row r="46">
      <c r="A46" s="13" t="s">
        <v>185</v>
      </c>
      <c r="B46" s="14">
        <v>7.04120922E8</v>
      </c>
      <c r="C46" s="13" t="s">
        <v>186</v>
      </c>
      <c r="D46" s="14">
        <v>7.41537956E8</v>
      </c>
      <c r="E46" s="13" t="s">
        <v>45</v>
      </c>
      <c r="F46" s="26">
        <v>100000.0</v>
      </c>
      <c r="G46" s="26">
        <v>30.0</v>
      </c>
      <c r="H46" s="26">
        <f t="shared" si="1"/>
        <v>30000</v>
      </c>
      <c r="I46" s="26">
        <f t="shared" si="23"/>
        <v>130000</v>
      </c>
      <c r="J46" s="26">
        <f t="shared" si="24"/>
        <v>4300</v>
      </c>
      <c r="K46" s="29">
        <v>45742.0</v>
      </c>
      <c r="L46" s="29">
        <v>45773.0</v>
      </c>
      <c r="M46" s="13" t="str">
        <f t="shared" si="25"/>
        <v>Overdue</v>
      </c>
      <c r="N46" s="24"/>
      <c r="O46" s="24"/>
      <c r="P46" s="24"/>
      <c r="Q46" s="24"/>
      <c r="R46" s="24"/>
      <c r="S46" s="24"/>
      <c r="T46" s="24"/>
      <c r="U46" s="24"/>
    </row>
    <row r="47">
      <c r="A47" s="3" t="s">
        <v>187</v>
      </c>
      <c r="B47" s="33">
        <v>7.42766135E8</v>
      </c>
      <c r="C47" s="3" t="s">
        <v>188</v>
      </c>
      <c r="D47" s="33">
        <v>7.48142304E8</v>
      </c>
      <c r="E47" s="3" t="s">
        <v>189</v>
      </c>
      <c r="F47" s="47">
        <v>200000.0</v>
      </c>
      <c r="G47" s="47">
        <v>30.0</v>
      </c>
      <c r="H47" s="26">
        <f t="shared" si="1"/>
        <v>60000</v>
      </c>
      <c r="I47" s="26">
        <f t="shared" si="23"/>
        <v>260000</v>
      </c>
      <c r="J47" s="26">
        <f>I47/G47</f>
        <v>8666.666667</v>
      </c>
      <c r="K47" s="29">
        <v>45821.0</v>
      </c>
      <c r="L47" s="30">
        <v>45851.0</v>
      </c>
      <c r="M47" s="13" t="str">
        <f t="shared" si="25"/>
        <v>Overdue</v>
      </c>
      <c r="N47" s="24"/>
      <c r="O47" s="24"/>
      <c r="P47" s="24"/>
      <c r="Q47" s="24"/>
      <c r="R47" s="24"/>
      <c r="S47" s="24"/>
      <c r="T47" s="24"/>
      <c r="U47" s="24"/>
    </row>
    <row r="48">
      <c r="A48" s="13" t="s">
        <v>190</v>
      </c>
      <c r="B48" s="14">
        <v>7.83008879E8</v>
      </c>
      <c r="C48" s="13" t="s">
        <v>191</v>
      </c>
      <c r="D48" s="14">
        <v>7.52221928E8</v>
      </c>
      <c r="E48" s="13" t="s">
        <v>5</v>
      </c>
      <c r="F48" s="26">
        <v>140000.0</v>
      </c>
      <c r="G48" s="14">
        <v>30.0</v>
      </c>
      <c r="H48" s="26">
        <f t="shared" si="1"/>
        <v>42000</v>
      </c>
      <c r="I48" s="26">
        <f t="shared" si="23"/>
        <v>182000</v>
      </c>
      <c r="J48" s="26">
        <f t="shared" ref="J48:J51" si="26">Round(I48/G48,-2)</f>
        <v>6100</v>
      </c>
      <c r="K48" s="29">
        <v>45685.0</v>
      </c>
      <c r="L48" s="29">
        <v>45744.0</v>
      </c>
      <c r="M48" s="13" t="str">
        <f t="shared" si="25"/>
        <v>Overdue</v>
      </c>
      <c r="N48" s="24"/>
      <c r="O48" s="24"/>
      <c r="P48" s="24"/>
      <c r="Q48" s="24"/>
      <c r="R48" s="24"/>
      <c r="S48" s="24"/>
      <c r="T48" s="24"/>
      <c r="U48" s="24"/>
    </row>
    <row r="49">
      <c r="A49" s="13" t="s">
        <v>192</v>
      </c>
      <c r="B49" s="13" t="s">
        <v>193</v>
      </c>
      <c r="C49" s="13" t="s">
        <v>194</v>
      </c>
      <c r="D49" s="14">
        <v>7.63632852E8</v>
      </c>
      <c r="E49" s="13" t="s">
        <v>5</v>
      </c>
      <c r="F49" s="26">
        <v>250000.0</v>
      </c>
      <c r="G49" s="14">
        <v>30.0</v>
      </c>
      <c r="H49" s="26">
        <f t="shared" si="1"/>
        <v>75000</v>
      </c>
      <c r="I49" s="26">
        <f t="shared" si="23"/>
        <v>325000</v>
      </c>
      <c r="J49" s="26">
        <f t="shared" si="26"/>
        <v>10800</v>
      </c>
      <c r="K49" s="29">
        <v>45667.0</v>
      </c>
      <c r="L49" s="29">
        <v>45698.0</v>
      </c>
      <c r="M49" s="13" t="str">
        <f t="shared" si="25"/>
        <v>Overdue</v>
      </c>
      <c r="N49" s="24"/>
      <c r="O49" s="24"/>
      <c r="P49" s="24"/>
      <c r="Q49" s="24"/>
      <c r="R49" s="24"/>
      <c r="S49" s="24"/>
      <c r="T49" s="24"/>
      <c r="U49" s="24"/>
    </row>
    <row r="50">
      <c r="A50" s="41" t="s">
        <v>65</v>
      </c>
      <c r="B50" s="41" t="s">
        <v>66</v>
      </c>
      <c r="C50" s="41" t="s">
        <v>67</v>
      </c>
      <c r="D50" s="49">
        <v>7.65866525E8</v>
      </c>
      <c r="E50" s="41" t="s">
        <v>68</v>
      </c>
      <c r="F50" s="37">
        <v>100000.0</v>
      </c>
      <c r="G50" s="37">
        <v>30.0</v>
      </c>
      <c r="H50" s="37">
        <f t="shared" si="1"/>
        <v>30000</v>
      </c>
      <c r="I50" s="37">
        <f t="shared" si="23"/>
        <v>130000</v>
      </c>
      <c r="J50" s="37">
        <f t="shared" si="26"/>
        <v>4300</v>
      </c>
      <c r="K50" s="40">
        <v>45738.0</v>
      </c>
      <c r="L50" s="40">
        <v>45738.0</v>
      </c>
      <c r="M50" s="41" t="str">
        <f t="shared" si="25"/>
        <v>Overdue</v>
      </c>
      <c r="N50" s="42"/>
      <c r="O50" s="42"/>
      <c r="P50" s="42"/>
      <c r="Q50" s="42"/>
      <c r="R50" s="42"/>
      <c r="S50" s="42"/>
      <c r="T50" s="42"/>
      <c r="U50" s="42"/>
    </row>
    <row r="51">
      <c r="A51" s="13" t="s">
        <v>195</v>
      </c>
      <c r="B51" s="13" t="s">
        <v>196</v>
      </c>
      <c r="C51" s="13" t="s">
        <v>197</v>
      </c>
      <c r="D51" s="14">
        <v>7.5080592E8</v>
      </c>
      <c r="E51" s="13" t="s">
        <v>198</v>
      </c>
      <c r="F51" s="26">
        <v>100000.0</v>
      </c>
      <c r="G51" s="26">
        <v>30.0</v>
      </c>
      <c r="H51" s="26">
        <f t="shared" si="1"/>
        <v>30000</v>
      </c>
      <c r="I51" s="26">
        <f t="shared" si="23"/>
        <v>130000</v>
      </c>
      <c r="J51" s="26">
        <f t="shared" si="26"/>
        <v>4300</v>
      </c>
      <c r="K51" s="29">
        <v>45692.0</v>
      </c>
      <c r="L51" s="29">
        <v>45721.0</v>
      </c>
      <c r="M51" s="13" t="str">
        <f t="shared" si="25"/>
        <v>Overdue</v>
      </c>
      <c r="N51" s="24"/>
      <c r="O51" s="24"/>
      <c r="P51" s="24"/>
      <c r="Q51" s="24"/>
      <c r="R51" s="24"/>
      <c r="S51" s="24"/>
      <c r="T51" s="24"/>
      <c r="U51" s="24"/>
    </row>
    <row r="52">
      <c r="A52" s="3" t="s">
        <v>199</v>
      </c>
      <c r="B52" s="33">
        <v>7.68965408E8</v>
      </c>
      <c r="C52" s="3" t="s">
        <v>200</v>
      </c>
      <c r="D52" s="33">
        <v>7.03574513E8</v>
      </c>
      <c r="E52" s="3" t="s">
        <v>26</v>
      </c>
      <c r="F52" s="47">
        <v>450000.0</v>
      </c>
      <c r="G52" s="34">
        <v>60.0</v>
      </c>
      <c r="H52" s="26">
        <f t="shared" si="1"/>
        <v>310500</v>
      </c>
      <c r="I52" s="26">
        <f t="shared" si="23"/>
        <v>760500</v>
      </c>
      <c r="J52" s="26">
        <f>I52/G52</f>
        <v>12675</v>
      </c>
      <c r="K52" s="29">
        <v>45821.0</v>
      </c>
      <c r="L52" s="30">
        <v>45913.0</v>
      </c>
      <c r="M52" s="13" t="str">
        <f t="shared" si="25"/>
        <v>Overdue</v>
      </c>
      <c r="N52" s="24"/>
      <c r="O52" s="24"/>
      <c r="P52" s="24"/>
      <c r="Q52" s="24"/>
      <c r="R52" s="24"/>
      <c r="S52" s="24"/>
      <c r="T52" s="24"/>
      <c r="U52" s="24"/>
    </row>
    <row r="53">
      <c r="A53" s="13" t="s">
        <v>201</v>
      </c>
      <c r="B53" s="14">
        <v>7.45309518E8</v>
      </c>
      <c r="C53" s="13" t="s">
        <v>202</v>
      </c>
      <c r="D53" s="14" t="s">
        <v>203</v>
      </c>
      <c r="E53" s="13" t="s">
        <v>5</v>
      </c>
      <c r="F53" s="26">
        <v>120000.0</v>
      </c>
      <c r="G53" s="14">
        <v>30.0</v>
      </c>
      <c r="H53" s="26">
        <f t="shared" si="1"/>
        <v>36000</v>
      </c>
      <c r="I53" s="26">
        <f t="shared" si="23"/>
        <v>156000</v>
      </c>
      <c r="J53" s="26">
        <f t="shared" ref="J53:J56" si="27">Round(I53/G53,-2)</f>
        <v>5200</v>
      </c>
      <c r="K53" s="29">
        <v>45695.0</v>
      </c>
      <c r="L53" s="29">
        <v>45755.0</v>
      </c>
      <c r="M53" s="13" t="str">
        <f t="shared" si="25"/>
        <v>Overdue</v>
      </c>
      <c r="N53" s="24"/>
      <c r="O53" s="24"/>
      <c r="P53" s="24"/>
      <c r="Q53" s="24"/>
      <c r="R53" s="24"/>
      <c r="S53" s="24"/>
      <c r="T53" s="24"/>
      <c r="U53" s="24"/>
    </row>
    <row r="54">
      <c r="A54" s="13" t="s">
        <v>204</v>
      </c>
      <c r="B54" s="14">
        <v>7.80313304E8</v>
      </c>
      <c r="C54" s="13" t="s">
        <v>205</v>
      </c>
      <c r="D54" s="14">
        <v>7.82047872E8</v>
      </c>
      <c r="E54" s="13" t="s">
        <v>57</v>
      </c>
      <c r="F54" s="26">
        <v>250000.0</v>
      </c>
      <c r="G54" s="26">
        <v>30.0</v>
      </c>
      <c r="H54" s="26">
        <f t="shared" si="1"/>
        <v>75000</v>
      </c>
      <c r="I54" s="26">
        <f t="shared" si="23"/>
        <v>325000</v>
      </c>
      <c r="J54" s="26">
        <f t="shared" si="27"/>
        <v>10800</v>
      </c>
      <c r="K54" s="29">
        <v>45722.0</v>
      </c>
      <c r="L54" s="29">
        <v>45754.0</v>
      </c>
      <c r="M54" s="13" t="str">
        <f t="shared" si="25"/>
        <v>Overdue</v>
      </c>
      <c r="N54" s="24"/>
      <c r="O54" s="24"/>
      <c r="P54" s="24"/>
      <c r="Q54" s="24"/>
      <c r="R54" s="24"/>
      <c r="S54" s="24"/>
      <c r="T54" s="24"/>
      <c r="U54" s="24"/>
    </row>
    <row r="55">
      <c r="A55" s="13" t="s">
        <v>206</v>
      </c>
      <c r="B55" s="14">
        <v>7.4689571E8</v>
      </c>
      <c r="C55" s="13" t="s">
        <v>207</v>
      </c>
      <c r="D55" s="14" t="s">
        <v>208</v>
      </c>
      <c r="E55" s="13" t="s">
        <v>5</v>
      </c>
      <c r="F55" s="26">
        <v>150000.0</v>
      </c>
      <c r="G55" s="14">
        <v>30.0</v>
      </c>
      <c r="H55" s="26">
        <f t="shared" si="1"/>
        <v>45000</v>
      </c>
      <c r="I55" s="26">
        <f t="shared" si="23"/>
        <v>195000</v>
      </c>
      <c r="J55" s="26">
        <f t="shared" si="27"/>
        <v>6500</v>
      </c>
      <c r="K55" s="29">
        <v>45679.0</v>
      </c>
      <c r="L55" s="29">
        <v>45769.0</v>
      </c>
      <c r="M55" s="13" t="str">
        <f t="shared" si="25"/>
        <v>Overdue</v>
      </c>
      <c r="N55" s="24"/>
      <c r="O55" s="24"/>
      <c r="P55" s="24"/>
      <c r="Q55" s="24"/>
      <c r="R55" s="24"/>
      <c r="S55" s="24"/>
      <c r="T55" s="24"/>
      <c r="U55" s="24"/>
    </row>
    <row r="56">
      <c r="A56" s="13" t="s">
        <v>209</v>
      </c>
      <c r="B56" s="14">
        <v>7.89463383E8</v>
      </c>
      <c r="C56" s="13" t="s">
        <v>210</v>
      </c>
      <c r="D56" s="14">
        <v>7.01139479E8</v>
      </c>
      <c r="E56" s="13" t="s">
        <v>5</v>
      </c>
      <c r="F56" s="26">
        <v>140000.0</v>
      </c>
      <c r="G56" s="26">
        <v>30.0</v>
      </c>
      <c r="H56" s="26">
        <f t="shared" si="1"/>
        <v>42000</v>
      </c>
      <c r="I56" s="26">
        <f t="shared" si="23"/>
        <v>182000</v>
      </c>
      <c r="J56" s="26">
        <f t="shared" si="27"/>
        <v>6100</v>
      </c>
      <c r="K56" s="29">
        <v>45716.0</v>
      </c>
      <c r="L56" s="29">
        <v>45744.0</v>
      </c>
      <c r="M56" s="13" t="str">
        <f t="shared" si="25"/>
        <v>Overdue</v>
      </c>
      <c r="N56" s="24"/>
      <c r="O56" s="24"/>
      <c r="P56" s="24"/>
      <c r="Q56" s="24"/>
      <c r="R56" s="24"/>
      <c r="S56" s="24"/>
      <c r="T56" s="24"/>
      <c r="U56" s="24"/>
    </row>
    <row r="57">
      <c r="A57" s="41" t="s">
        <v>61</v>
      </c>
      <c r="B57" s="49">
        <v>7.02273378E8</v>
      </c>
      <c r="C57" s="41" t="s">
        <v>59</v>
      </c>
      <c r="D57" s="49">
        <v>7.01856117E8</v>
      </c>
      <c r="E57" s="41" t="s">
        <v>60</v>
      </c>
      <c r="F57" s="37">
        <v>150000.0</v>
      </c>
      <c r="G57" s="37">
        <v>30.0</v>
      </c>
      <c r="H57" s="37">
        <f t="shared" si="1"/>
        <v>45000</v>
      </c>
      <c r="I57" s="37">
        <v>0.0</v>
      </c>
      <c r="J57" s="37">
        <f t="shared" ref="J57:J58" si="28">I57/G57</f>
        <v>0</v>
      </c>
      <c r="K57" s="40">
        <v>45763.0</v>
      </c>
      <c r="L57" s="39">
        <v>45793.0</v>
      </c>
      <c r="M57" s="41" t="s">
        <v>120</v>
      </c>
      <c r="N57" s="42"/>
      <c r="O57" s="42"/>
      <c r="P57" s="42"/>
      <c r="Q57" s="42"/>
      <c r="R57" s="42"/>
      <c r="S57" s="42"/>
      <c r="T57" s="42"/>
      <c r="U57" s="42"/>
    </row>
    <row r="58">
      <c r="A58" s="13" t="s">
        <v>211</v>
      </c>
      <c r="B58" s="14">
        <v>7.09997539E8</v>
      </c>
      <c r="C58" s="13" t="s">
        <v>212</v>
      </c>
      <c r="D58" s="14">
        <v>7.73585856E8</v>
      </c>
      <c r="E58" s="13" t="s">
        <v>143</v>
      </c>
      <c r="F58" s="26">
        <v>360000.0</v>
      </c>
      <c r="G58" s="14">
        <v>90.0</v>
      </c>
      <c r="H58" s="26">
        <f t="shared" si="1"/>
        <v>430920</v>
      </c>
      <c r="I58" s="26">
        <f t="shared" ref="I58:I75" si="29">F58*(1+0.3)^(G58/30)</f>
        <v>790920</v>
      </c>
      <c r="J58" s="26">
        <f t="shared" si="28"/>
        <v>8788</v>
      </c>
      <c r="K58" s="30">
        <v>45790.0</v>
      </c>
      <c r="L58" s="29">
        <v>45882.0</v>
      </c>
      <c r="M58" s="13" t="str">
        <f t="shared" ref="M58:M93" si="30">IF(TODAY()&gt;L58,"Overdue", IF(I58=0, "Cleared", "Active"))</f>
        <v>Overdue</v>
      </c>
      <c r="N58" s="24"/>
      <c r="O58" s="24"/>
      <c r="P58" s="24"/>
      <c r="Q58" s="24"/>
      <c r="R58" s="24"/>
      <c r="S58" s="24"/>
      <c r="T58" s="24"/>
      <c r="U58" s="24"/>
    </row>
    <row r="59">
      <c r="A59" s="13" t="s">
        <v>213</v>
      </c>
      <c r="B59" s="14">
        <v>7.85995429E8</v>
      </c>
      <c r="C59" s="13" t="s">
        <v>214</v>
      </c>
      <c r="D59" s="14">
        <v>7.84664422E8</v>
      </c>
      <c r="E59" s="13" t="s">
        <v>26</v>
      </c>
      <c r="F59" s="25">
        <v>900000.0</v>
      </c>
      <c r="G59" s="25">
        <v>60.0</v>
      </c>
      <c r="H59" s="26">
        <f t="shared" si="1"/>
        <v>621000</v>
      </c>
      <c r="I59" s="26">
        <f t="shared" si="29"/>
        <v>1521000</v>
      </c>
      <c r="J59" s="26">
        <f>Round(I59/G59,-2)</f>
        <v>25400</v>
      </c>
      <c r="K59" s="27">
        <v>45850.0</v>
      </c>
      <c r="L59" s="32">
        <v>45912.0</v>
      </c>
      <c r="M59" s="13" t="str">
        <f t="shared" si="30"/>
        <v>Overdue</v>
      </c>
      <c r="N59" s="24"/>
      <c r="O59" s="24"/>
      <c r="P59" s="24"/>
      <c r="Q59" s="24"/>
      <c r="R59" s="24"/>
      <c r="S59" s="24"/>
      <c r="T59" s="24"/>
      <c r="U59" s="24"/>
    </row>
    <row r="60">
      <c r="A60" s="13" t="s">
        <v>215</v>
      </c>
      <c r="B60" s="26">
        <v>7.04979786E8</v>
      </c>
      <c r="C60" s="13" t="s">
        <v>216</v>
      </c>
      <c r="D60" s="26">
        <v>7.55732657E8</v>
      </c>
      <c r="E60" s="13" t="s">
        <v>217</v>
      </c>
      <c r="F60" s="26">
        <v>200000.0</v>
      </c>
      <c r="G60" s="14">
        <v>60.0</v>
      </c>
      <c r="H60" s="26">
        <f t="shared" si="1"/>
        <v>138000</v>
      </c>
      <c r="I60" s="26">
        <f t="shared" si="29"/>
        <v>338000</v>
      </c>
      <c r="J60" s="26">
        <f t="shared" ref="J60:J61" si="31">I60/G60</f>
        <v>5633.333333</v>
      </c>
      <c r="K60" s="30">
        <v>45780.0</v>
      </c>
      <c r="L60" s="29">
        <v>45841.0</v>
      </c>
      <c r="M60" s="13" t="str">
        <f t="shared" si="30"/>
        <v>Overdue</v>
      </c>
      <c r="N60" s="24"/>
      <c r="O60" s="24"/>
      <c r="P60" s="24"/>
      <c r="Q60" s="24"/>
      <c r="R60" s="24"/>
      <c r="S60" s="24"/>
      <c r="T60" s="24"/>
      <c r="U60" s="24"/>
    </row>
    <row r="61">
      <c r="A61" s="13" t="s">
        <v>218</v>
      </c>
      <c r="B61" s="14">
        <v>7.48875037E8</v>
      </c>
      <c r="C61" s="13" t="s">
        <v>219</v>
      </c>
      <c r="D61" s="14">
        <v>7.48358353E8</v>
      </c>
      <c r="E61" s="13" t="s">
        <v>83</v>
      </c>
      <c r="F61" s="25">
        <v>272000.0</v>
      </c>
      <c r="G61" s="14">
        <v>30.0</v>
      </c>
      <c r="H61" s="26">
        <f t="shared" si="1"/>
        <v>81600</v>
      </c>
      <c r="I61" s="26">
        <f t="shared" si="29"/>
        <v>353600</v>
      </c>
      <c r="J61" s="26">
        <f t="shared" si="31"/>
        <v>11786.66667</v>
      </c>
      <c r="K61" s="30">
        <v>45780.0</v>
      </c>
      <c r="L61" s="29">
        <v>45841.0</v>
      </c>
      <c r="M61" s="13" t="str">
        <f t="shared" si="30"/>
        <v>Overdue</v>
      </c>
      <c r="N61" s="24"/>
      <c r="O61" s="24"/>
      <c r="P61" s="24"/>
      <c r="Q61" s="24"/>
      <c r="R61" s="24"/>
      <c r="S61" s="24"/>
      <c r="T61" s="24"/>
      <c r="U61" s="24"/>
    </row>
    <row r="62">
      <c r="A62" s="13" t="s">
        <v>220</v>
      </c>
      <c r="B62" s="14">
        <v>7.50440078E8</v>
      </c>
      <c r="C62" s="13" t="s">
        <v>19</v>
      </c>
      <c r="D62" s="14">
        <v>7.53245528E8</v>
      </c>
      <c r="E62" s="13" t="s">
        <v>20</v>
      </c>
      <c r="F62" s="26">
        <v>100000.0</v>
      </c>
      <c r="G62" s="26">
        <v>30.0</v>
      </c>
      <c r="H62" s="26">
        <f t="shared" si="1"/>
        <v>30000</v>
      </c>
      <c r="I62" s="26">
        <f t="shared" si="29"/>
        <v>130000</v>
      </c>
      <c r="J62" s="26">
        <f t="shared" ref="J62:J66" si="32">Round(I62/G62,-2)</f>
        <v>4300</v>
      </c>
      <c r="K62" s="30">
        <v>45780.0</v>
      </c>
      <c r="L62" s="29">
        <v>45811.0</v>
      </c>
      <c r="M62" s="13" t="str">
        <f t="shared" si="30"/>
        <v>Overdue</v>
      </c>
      <c r="N62" s="24"/>
      <c r="O62" s="24"/>
      <c r="P62" s="24"/>
      <c r="Q62" s="24"/>
      <c r="R62" s="24"/>
      <c r="S62" s="24"/>
      <c r="T62" s="24"/>
      <c r="U62" s="24"/>
    </row>
    <row r="63">
      <c r="A63" s="13" t="s">
        <v>221</v>
      </c>
      <c r="B63" s="14">
        <v>7.79639561E8</v>
      </c>
      <c r="C63" s="13" t="s">
        <v>222</v>
      </c>
      <c r="D63" s="14">
        <v>7.00961381E8</v>
      </c>
      <c r="E63" s="13" t="s">
        <v>45</v>
      </c>
      <c r="F63" s="26">
        <v>150000.0</v>
      </c>
      <c r="G63" s="26">
        <v>30.0</v>
      </c>
      <c r="H63" s="26">
        <f t="shared" si="1"/>
        <v>45000</v>
      </c>
      <c r="I63" s="26">
        <f t="shared" si="29"/>
        <v>195000</v>
      </c>
      <c r="J63" s="26">
        <f t="shared" si="32"/>
        <v>6500</v>
      </c>
      <c r="K63" s="29">
        <v>45742.0</v>
      </c>
      <c r="L63" s="29">
        <v>45773.0</v>
      </c>
      <c r="M63" s="13" t="str">
        <f t="shared" si="30"/>
        <v>Overdue</v>
      </c>
      <c r="N63" s="24"/>
      <c r="O63" s="24"/>
      <c r="P63" s="24"/>
      <c r="Q63" s="24"/>
      <c r="R63" s="24"/>
      <c r="S63" s="24"/>
      <c r="T63" s="24"/>
      <c r="U63" s="24"/>
    </row>
    <row r="64">
      <c r="A64" s="13" t="s">
        <v>223</v>
      </c>
      <c r="B64" s="14">
        <v>7.59908673E8</v>
      </c>
      <c r="C64" s="13" t="s">
        <v>224</v>
      </c>
      <c r="D64" s="14">
        <v>7.72233331E8</v>
      </c>
      <c r="E64" s="13" t="s">
        <v>45</v>
      </c>
      <c r="F64" s="26">
        <v>400000.0</v>
      </c>
      <c r="G64" s="26">
        <v>60.0</v>
      </c>
      <c r="H64" s="26">
        <f t="shared" si="1"/>
        <v>276000</v>
      </c>
      <c r="I64" s="26">
        <f t="shared" si="29"/>
        <v>676000</v>
      </c>
      <c r="J64" s="26">
        <f t="shared" si="32"/>
        <v>11300</v>
      </c>
      <c r="K64" s="29">
        <v>45770.0</v>
      </c>
      <c r="L64" s="29">
        <v>45831.0</v>
      </c>
      <c r="M64" s="13" t="str">
        <f t="shared" si="30"/>
        <v>Overdue</v>
      </c>
      <c r="N64" s="24"/>
      <c r="O64" s="24"/>
      <c r="P64" s="24"/>
      <c r="Q64" s="24"/>
      <c r="R64" s="24"/>
      <c r="S64" s="24"/>
      <c r="T64" s="24"/>
      <c r="U64" s="24"/>
    </row>
    <row r="65" ht="21.0" customHeight="1">
      <c r="A65" s="13" t="s">
        <v>225</v>
      </c>
      <c r="B65" s="14">
        <v>7.43348942E8</v>
      </c>
      <c r="C65" s="3"/>
      <c r="D65" s="3"/>
      <c r="E65" s="13" t="s">
        <v>226</v>
      </c>
      <c r="F65" s="26">
        <v>100000.0</v>
      </c>
      <c r="G65" s="26">
        <v>30.0</v>
      </c>
      <c r="H65" s="26">
        <f t="shared" si="1"/>
        <v>30000</v>
      </c>
      <c r="I65" s="26">
        <f t="shared" si="29"/>
        <v>130000</v>
      </c>
      <c r="J65" s="26">
        <f t="shared" si="32"/>
        <v>4300</v>
      </c>
      <c r="K65" s="29">
        <v>45715.0</v>
      </c>
      <c r="L65" s="29">
        <v>45743.0</v>
      </c>
      <c r="M65" s="13" t="str">
        <f t="shared" si="30"/>
        <v>Overdue</v>
      </c>
      <c r="N65" s="24"/>
      <c r="O65" s="24"/>
      <c r="P65" s="24"/>
      <c r="Q65" s="24"/>
      <c r="R65" s="24"/>
      <c r="S65" s="24"/>
      <c r="T65" s="24"/>
      <c r="U65" s="24"/>
    </row>
    <row r="66" ht="21.0" customHeight="1">
      <c r="A66" s="13" t="s">
        <v>227</v>
      </c>
      <c r="B66" s="14">
        <v>7.05508169E8</v>
      </c>
      <c r="C66" s="13" t="s">
        <v>59</v>
      </c>
      <c r="D66" s="14">
        <v>7.44781014E8</v>
      </c>
      <c r="E66" s="13" t="s">
        <v>60</v>
      </c>
      <c r="F66" s="25">
        <v>399000.0</v>
      </c>
      <c r="G66" s="25">
        <v>60.0</v>
      </c>
      <c r="H66" s="26">
        <f t="shared" si="1"/>
        <v>275310</v>
      </c>
      <c r="I66" s="26">
        <f t="shared" si="29"/>
        <v>674310</v>
      </c>
      <c r="J66" s="26">
        <f t="shared" si="32"/>
        <v>11200</v>
      </c>
      <c r="K66" s="29">
        <v>45763.0</v>
      </c>
      <c r="L66" s="30">
        <v>45793.0</v>
      </c>
      <c r="M66" s="13" t="str">
        <f t="shared" si="30"/>
        <v>Overdue</v>
      </c>
      <c r="N66" s="24"/>
      <c r="O66" s="24"/>
      <c r="P66" s="24"/>
      <c r="Q66" s="24"/>
      <c r="R66" s="24"/>
      <c r="S66" s="24"/>
      <c r="T66" s="24"/>
      <c r="U66" s="24"/>
    </row>
    <row r="67">
      <c r="A67" s="13" t="s">
        <v>228</v>
      </c>
      <c r="B67" s="14">
        <v>7.04774447E8</v>
      </c>
      <c r="C67" s="13" t="s">
        <v>229</v>
      </c>
      <c r="D67" s="14">
        <v>7.72457779E8</v>
      </c>
      <c r="E67" s="13" t="s">
        <v>151</v>
      </c>
      <c r="F67" s="26">
        <v>1000000.0</v>
      </c>
      <c r="G67" s="14">
        <v>60.0</v>
      </c>
      <c r="H67" s="26">
        <f t="shared" si="1"/>
        <v>690000</v>
      </c>
      <c r="I67" s="26">
        <f t="shared" si="29"/>
        <v>1690000</v>
      </c>
      <c r="J67" s="26">
        <f>I67/G67</f>
        <v>28166.66667</v>
      </c>
      <c r="K67" s="30">
        <v>45790.0</v>
      </c>
      <c r="L67" s="29">
        <v>45851.0</v>
      </c>
      <c r="M67" s="13" t="str">
        <f t="shared" si="30"/>
        <v>Overdue</v>
      </c>
      <c r="N67" s="24"/>
      <c r="O67" s="24"/>
      <c r="P67" s="24"/>
      <c r="Q67" s="24"/>
      <c r="R67" s="24"/>
      <c r="S67" s="24"/>
      <c r="T67" s="24"/>
      <c r="U67" s="24"/>
    </row>
    <row r="68">
      <c r="A68" s="13" t="s">
        <v>230</v>
      </c>
      <c r="B68" s="13" t="s">
        <v>231</v>
      </c>
      <c r="C68" s="13" t="s">
        <v>232</v>
      </c>
      <c r="D68" s="14">
        <v>7.64564413E8</v>
      </c>
      <c r="E68" s="13" t="s">
        <v>26</v>
      </c>
      <c r="F68" s="26">
        <v>400000.0</v>
      </c>
      <c r="G68" s="26">
        <v>60.0</v>
      </c>
      <c r="H68" s="26">
        <f t="shared" si="1"/>
        <v>276000</v>
      </c>
      <c r="I68" s="26">
        <f t="shared" si="29"/>
        <v>676000</v>
      </c>
      <c r="J68" s="26">
        <f>Round(I68/G68,-2)</f>
        <v>11300</v>
      </c>
      <c r="K68" s="30">
        <v>45797.0</v>
      </c>
      <c r="L68" s="29">
        <v>45858.0</v>
      </c>
      <c r="M68" s="13" t="str">
        <f t="shared" si="30"/>
        <v>Overdue</v>
      </c>
      <c r="N68" s="24"/>
      <c r="O68" s="24"/>
      <c r="P68" s="24"/>
      <c r="Q68" s="24"/>
      <c r="R68" s="24"/>
      <c r="S68" s="24"/>
      <c r="T68" s="24"/>
      <c r="U68" s="24"/>
    </row>
    <row r="69">
      <c r="A69" s="13" t="s">
        <v>233</v>
      </c>
      <c r="B69" s="14">
        <v>7.45353082E8</v>
      </c>
      <c r="C69" s="13" t="s">
        <v>17</v>
      </c>
      <c r="D69" s="26">
        <v>7.42884112E8</v>
      </c>
      <c r="E69" s="13" t="s">
        <v>234</v>
      </c>
      <c r="F69" s="26">
        <v>400000.0</v>
      </c>
      <c r="G69" s="26">
        <v>60.0</v>
      </c>
      <c r="H69" s="26">
        <f t="shared" si="1"/>
        <v>276000</v>
      </c>
      <c r="I69" s="26">
        <f t="shared" si="29"/>
        <v>676000</v>
      </c>
      <c r="J69" s="26">
        <f>I69/G69</f>
        <v>11266.66667</v>
      </c>
      <c r="K69" s="29">
        <v>45773.0</v>
      </c>
      <c r="L69" s="29">
        <v>45834.0</v>
      </c>
      <c r="M69" s="13" t="str">
        <f t="shared" si="30"/>
        <v>Overdue</v>
      </c>
      <c r="N69" s="24"/>
      <c r="O69" s="24"/>
      <c r="P69" s="24"/>
      <c r="Q69" s="24"/>
      <c r="R69" s="24"/>
      <c r="S69" s="24"/>
      <c r="T69" s="24"/>
      <c r="U69" s="24"/>
    </row>
    <row r="70">
      <c r="A70" s="41" t="s">
        <v>31</v>
      </c>
      <c r="B70" s="49">
        <v>7.47014156E8</v>
      </c>
      <c r="C70" s="41" t="s">
        <v>32</v>
      </c>
      <c r="D70" s="49">
        <v>7.09105519E8</v>
      </c>
      <c r="E70" s="41" t="s">
        <v>26</v>
      </c>
      <c r="F70" s="37">
        <v>200000.0</v>
      </c>
      <c r="G70" s="37">
        <v>30.0</v>
      </c>
      <c r="H70" s="37">
        <f t="shared" si="1"/>
        <v>60000</v>
      </c>
      <c r="I70" s="37">
        <f t="shared" si="29"/>
        <v>260000</v>
      </c>
      <c r="J70" s="37">
        <f t="shared" ref="J70:J75" si="33">Round(I70/G70,-2)</f>
        <v>8700</v>
      </c>
      <c r="K70" s="40">
        <v>45770.0</v>
      </c>
      <c r="L70" s="39">
        <v>45800.0</v>
      </c>
      <c r="M70" s="41" t="str">
        <f t="shared" si="30"/>
        <v>Overdue</v>
      </c>
      <c r="N70" s="42"/>
      <c r="O70" s="42"/>
      <c r="P70" s="42"/>
      <c r="Q70" s="42"/>
      <c r="R70" s="42"/>
      <c r="S70" s="42"/>
      <c r="T70" s="42"/>
      <c r="U70" s="42"/>
    </row>
    <row r="71">
      <c r="A71" s="13" t="s">
        <v>235</v>
      </c>
      <c r="B71" s="14">
        <v>7.55105066E8</v>
      </c>
      <c r="C71" s="13" t="s">
        <v>236</v>
      </c>
      <c r="D71" s="14">
        <v>7.41617351E8</v>
      </c>
      <c r="E71" s="13" t="s">
        <v>143</v>
      </c>
      <c r="F71" s="26">
        <v>400000.0</v>
      </c>
      <c r="G71" s="14">
        <v>60.0</v>
      </c>
      <c r="H71" s="26">
        <f t="shared" si="1"/>
        <v>276000</v>
      </c>
      <c r="I71" s="26">
        <f t="shared" si="29"/>
        <v>676000</v>
      </c>
      <c r="J71" s="26">
        <f t="shared" si="33"/>
        <v>11300</v>
      </c>
      <c r="K71" s="29">
        <v>45763.0</v>
      </c>
      <c r="L71" s="29">
        <v>45824.0</v>
      </c>
      <c r="M71" s="13" t="str">
        <f t="shared" si="30"/>
        <v>Overdue</v>
      </c>
      <c r="N71" s="56"/>
      <c r="O71" s="56"/>
      <c r="P71" s="56"/>
      <c r="Q71" s="56"/>
      <c r="R71" s="56"/>
      <c r="S71" s="56"/>
      <c r="T71" s="56"/>
      <c r="U71" s="56"/>
    </row>
    <row r="72">
      <c r="A72" s="3" t="s">
        <v>237</v>
      </c>
      <c r="B72" s="33">
        <v>7.07467655E8</v>
      </c>
      <c r="C72" s="3" t="s">
        <v>238</v>
      </c>
      <c r="D72" s="3" t="s">
        <v>239</v>
      </c>
      <c r="E72" s="3" t="s">
        <v>114</v>
      </c>
      <c r="F72" s="47">
        <v>400000.0</v>
      </c>
      <c r="G72" s="47">
        <v>30.0</v>
      </c>
      <c r="H72" s="26">
        <f t="shared" si="1"/>
        <v>120000</v>
      </c>
      <c r="I72" s="26">
        <f t="shared" si="29"/>
        <v>520000</v>
      </c>
      <c r="J72" s="26">
        <f t="shared" si="33"/>
        <v>17300</v>
      </c>
      <c r="K72" s="30">
        <v>45798.0</v>
      </c>
      <c r="L72" s="29">
        <v>45829.0</v>
      </c>
      <c r="M72" s="13" t="str">
        <f t="shared" si="30"/>
        <v>Overdue</v>
      </c>
      <c r="N72" s="24"/>
      <c r="O72" s="24"/>
      <c r="P72" s="24"/>
      <c r="Q72" s="24"/>
      <c r="R72" s="24"/>
      <c r="S72" s="24"/>
      <c r="T72" s="24"/>
      <c r="U72" s="24"/>
    </row>
    <row r="73">
      <c r="A73" s="13" t="s">
        <v>240</v>
      </c>
      <c r="B73" s="14">
        <v>7.60045647E8</v>
      </c>
      <c r="C73" s="13" t="s">
        <v>241</v>
      </c>
      <c r="D73" s="14">
        <v>7.42614543E8</v>
      </c>
      <c r="E73" s="13" t="s">
        <v>26</v>
      </c>
      <c r="F73" s="26">
        <v>400000.0</v>
      </c>
      <c r="G73" s="25">
        <v>60.0</v>
      </c>
      <c r="H73" s="26">
        <f t="shared" si="1"/>
        <v>276000</v>
      </c>
      <c r="I73" s="26">
        <f t="shared" si="29"/>
        <v>676000</v>
      </c>
      <c r="J73" s="26">
        <f t="shared" si="33"/>
        <v>11300</v>
      </c>
      <c r="K73" s="30">
        <v>45780.0</v>
      </c>
      <c r="L73" s="29">
        <v>45811.0</v>
      </c>
      <c r="M73" s="13" t="str">
        <f t="shared" si="30"/>
        <v>Overdue</v>
      </c>
      <c r="N73" s="24"/>
      <c r="O73" s="24"/>
      <c r="P73" s="24"/>
      <c r="Q73" s="24"/>
      <c r="R73" s="24"/>
      <c r="S73" s="24"/>
      <c r="T73" s="24"/>
      <c r="U73" s="24"/>
    </row>
    <row r="74">
      <c r="A74" s="13" t="s">
        <v>242</v>
      </c>
      <c r="B74" s="14">
        <v>7.81686488E8</v>
      </c>
      <c r="C74" s="13" t="s">
        <v>243</v>
      </c>
      <c r="D74" s="14">
        <v>7.45018612E8</v>
      </c>
      <c r="E74" s="13" t="s">
        <v>128</v>
      </c>
      <c r="F74" s="26">
        <v>200000.0</v>
      </c>
      <c r="G74" s="26">
        <v>30.0</v>
      </c>
      <c r="H74" s="26">
        <f t="shared" si="1"/>
        <v>60000</v>
      </c>
      <c r="I74" s="26">
        <f t="shared" si="29"/>
        <v>260000</v>
      </c>
      <c r="J74" s="26">
        <f t="shared" si="33"/>
        <v>8700</v>
      </c>
      <c r="K74" s="29">
        <v>45773.0</v>
      </c>
      <c r="L74" s="30">
        <v>45803.0</v>
      </c>
      <c r="M74" s="13" t="str">
        <f t="shared" si="30"/>
        <v>Overdue</v>
      </c>
      <c r="N74" s="24"/>
      <c r="O74" s="24"/>
      <c r="P74" s="24"/>
      <c r="Q74" s="24"/>
      <c r="R74" s="24"/>
      <c r="S74" s="24"/>
      <c r="T74" s="24"/>
      <c r="U74" s="24"/>
    </row>
    <row r="75">
      <c r="A75" s="13" t="s">
        <v>244</v>
      </c>
      <c r="B75" s="14">
        <v>7.44781014E8</v>
      </c>
      <c r="C75" s="13" t="s">
        <v>245</v>
      </c>
      <c r="D75" s="14">
        <v>7.01856117E8</v>
      </c>
      <c r="E75" s="13" t="s">
        <v>60</v>
      </c>
      <c r="F75" s="26">
        <v>150000.0</v>
      </c>
      <c r="G75" s="26">
        <v>30.0</v>
      </c>
      <c r="H75" s="26">
        <f t="shared" si="1"/>
        <v>45000</v>
      </c>
      <c r="I75" s="26">
        <f t="shared" si="29"/>
        <v>195000</v>
      </c>
      <c r="J75" s="26">
        <f t="shared" si="33"/>
        <v>6500</v>
      </c>
      <c r="K75" s="29">
        <v>45749.0</v>
      </c>
      <c r="L75" s="30">
        <v>45778.0</v>
      </c>
      <c r="M75" s="13" t="str">
        <f t="shared" si="30"/>
        <v>Overdue</v>
      </c>
      <c r="N75" s="24"/>
      <c r="O75" s="24"/>
      <c r="P75" s="24"/>
      <c r="Q75" s="24"/>
      <c r="R75" s="24"/>
      <c r="S75" s="24"/>
      <c r="T75" s="24"/>
      <c r="U75" s="24"/>
    </row>
    <row r="76">
      <c r="A76" s="13" t="s">
        <v>246</v>
      </c>
      <c r="B76" s="14">
        <v>7.90436295E8</v>
      </c>
      <c r="C76" s="13" t="s">
        <v>247</v>
      </c>
      <c r="D76" s="14">
        <v>7.45618863E8</v>
      </c>
      <c r="E76" s="3"/>
      <c r="F76" s="25">
        <v>600000.0</v>
      </c>
      <c r="G76" s="14">
        <v>60.0</v>
      </c>
      <c r="H76" s="26">
        <f t="shared" si="1"/>
        <v>414000</v>
      </c>
      <c r="I76" s="31">
        <f>F76*(1+0.3)^(G76/30)+20000</f>
        <v>1034000</v>
      </c>
      <c r="J76" s="26">
        <f>I76/G76</f>
        <v>17233.33333</v>
      </c>
      <c r="K76" s="32">
        <v>45897.0</v>
      </c>
      <c r="L76" s="27">
        <v>45958.0</v>
      </c>
      <c r="M76" s="13" t="str">
        <f t="shared" si="30"/>
        <v>Active</v>
      </c>
      <c r="N76" s="24"/>
      <c r="O76" s="24"/>
      <c r="P76" s="24"/>
      <c r="Q76" s="24"/>
      <c r="R76" s="24"/>
      <c r="S76" s="24"/>
      <c r="T76" s="24"/>
      <c r="U76" s="24"/>
    </row>
    <row r="77">
      <c r="A77" s="13" t="s">
        <v>248</v>
      </c>
      <c r="B77" s="14">
        <v>7.52467521E8</v>
      </c>
      <c r="C77" s="13" t="s">
        <v>249</v>
      </c>
      <c r="D77" s="14" t="s">
        <v>250</v>
      </c>
      <c r="E77" s="13" t="s">
        <v>26</v>
      </c>
      <c r="F77" s="26">
        <v>100000.0</v>
      </c>
      <c r="G77" s="26">
        <v>30.0</v>
      </c>
      <c r="H77" s="26">
        <f t="shared" si="1"/>
        <v>30000</v>
      </c>
      <c r="I77" s="26">
        <f t="shared" ref="I77:I100" si="34">F77*(1+0.3)^(G77/30)</f>
        <v>130000</v>
      </c>
      <c r="J77" s="26">
        <f>Round(I77/G77,-2)</f>
        <v>4300</v>
      </c>
      <c r="K77" s="29">
        <v>45762.0</v>
      </c>
      <c r="L77" s="30">
        <v>45792.0</v>
      </c>
      <c r="M77" s="13" t="str">
        <f t="shared" si="30"/>
        <v>Overdue</v>
      </c>
      <c r="N77" s="24"/>
      <c r="O77" s="24"/>
      <c r="P77" s="24"/>
      <c r="Q77" s="24"/>
      <c r="R77" s="24"/>
      <c r="S77" s="24"/>
      <c r="T77" s="24"/>
      <c r="U77" s="24"/>
    </row>
    <row r="78">
      <c r="A78" s="13" t="s">
        <v>251</v>
      </c>
      <c r="B78" s="26">
        <v>7.84664422E8</v>
      </c>
      <c r="C78" s="13" t="s">
        <v>252</v>
      </c>
      <c r="D78" s="26">
        <v>7.46068442E8</v>
      </c>
      <c r="E78" s="13" t="s">
        <v>217</v>
      </c>
      <c r="F78" s="26">
        <v>120000.0</v>
      </c>
      <c r="G78" s="14">
        <v>90.0</v>
      </c>
      <c r="H78" s="26">
        <f t="shared" si="1"/>
        <v>143640</v>
      </c>
      <c r="I78" s="26">
        <f t="shared" si="34"/>
        <v>263640</v>
      </c>
      <c r="J78" s="26">
        <f>I78/G78</f>
        <v>2929.333333</v>
      </c>
      <c r="K78" s="29">
        <v>45773.0</v>
      </c>
      <c r="L78" s="29">
        <v>45864.0</v>
      </c>
      <c r="M78" s="13" t="str">
        <f t="shared" si="30"/>
        <v>Overdue</v>
      </c>
      <c r="N78" s="24"/>
      <c r="O78" s="24"/>
      <c r="P78" s="24"/>
      <c r="Q78" s="24"/>
      <c r="R78" s="24"/>
      <c r="S78" s="24"/>
      <c r="T78" s="24"/>
      <c r="U78" s="24"/>
    </row>
    <row r="79">
      <c r="A79" s="41" t="s">
        <v>21</v>
      </c>
      <c r="B79" s="49">
        <v>7.53317368E8</v>
      </c>
      <c r="C79" s="41" t="s">
        <v>22</v>
      </c>
      <c r="D79" s="49">
        <v>7.52443668E8</v>
      </c>
      <c r="E79" s="41" t="s">
        <v>23</v>
      </c>
      <c r="F79" s="37">
        <v>100000.0</v>
      </c>
      <c r="G79" s="37">
        <v>30.0</v>
      </c>
      <c r="H79" s="37">
        <f t="shared" si="1"/>
        <v>30000</v>
      </c>
      <c r="I79" s="37">
        <f t="shared" si="34"/>
        <v>130000</v>
      </c>
      <c r="J79" s="37">
        <f t="shared" ref="J79:J83" si="35">Round(I79/G79,-2)</f>
        <v>4300</v>
      </c>
      <c r="K79" s="40">
        <v>45708.0</v>
      </c>
      <c r="L79" s="40">
        <v>45737.0</v>
      </c>
      <c r="M79" s="41" t="str">
        <f t="shared" si="30"/>
        <v>Overdue</v>
      </c>
      <c r="N79" s="42"/>
      <c r="O79" s="42"/>
      <c r="P79" s="42"/>
      <c r="Q79" s="42"/>
      <c r="R79" s="42"/>
      <c r="S79" s="42"/>
      <c r="T79" s="42"/>
      <c r="U79" s="42"/>
    </row>
    <row r="80">
      <c r="A80" s="13" t="s">
        <v>253</v>
      </c>
      <c r="B80" s="14">
        <v>7.08564982E8</v>
      </c>
      <c r="C80" s="13" t="s">
        <v>254</v>
      </c>
      <c r="D80" s="14">
        <v>7.05548595E8</v>
      </c>
      <c r="E80" s="13" t="s">
        <v>26</v>
      </c>
      <c r="F80" s="25">
        <v>675000.0</v>
      </c>
      <c r="G80" s="25">
        <v>90.0</v>
      </c>
      <c r="H80" s="26">
        <f t="shared" si="1"/>
        <v>807975</v>
      </c>
      <c r="I80" s="26">
        <f t="shared" si="34"/>
        <v>1482975</v>
      </c>
      <c r="J80" s="26">
        <f t="shared" si="35"/>
        <v>16500</v>
      </c>
      <c r="K80" s="29">
        <v>45762.0</v>
      </c>
      <c r="L80" s="30">
        <v>45792.0</v>
      </c>
      <c r="M80" s="13" t="str">
        <f t="shared" si="30"/>
        <v>Overdue</v>
      </c>
      <c r="N80" s="24"/>
      <c r="O80" s="24"/>
      <c r="P80" s="24"/>
      <c r="Q80" s="24"/>
      <c r="R80" s="24"/>
      <c r="S80" s="24"/>
      <c r="T80" s="24"/>
      <c r="U80" s="24"/>
    </row>
    <row r="81">
      <c r="A81" s="43" t="s">
        <v>255</v>
      </c>
      <c r="B81" s="44">
        <v>7.67639022E8</v>
      </c>
      <c r="C81" s="43" t="s">
        <v>256</v>
      </c>
      <c r="D81" s="44">
        <v>7.51812095E8</v>
      </c>
      <c r="E81" s="43" t="s">
        <v>257</v>
      </c>
      <c r="F81" s="22">
        <v>912000.0</v>
      </c>
      <c r="G81" s="57">
        <v>90.0</v>
      </c>
      <c r="H81" s="31">
        <f t="shared" si="1"/>
        <v>1091664</v>
      </c>
      <c r="I81" s="31">
        <f t="shared" si="34"/>
        <v>2003664</v>
      </c>
      <c r="J81" s="31">
        <f t="shared" si="35"/>
        <v>22300</v>
      </c>
      <c r="K81" s="53">
        <v>45848.0</v>
      </c>
      <c r="L81" s="53">
        <v>45940.0</v>
      </c>
      <c r="M81" s="43" t="str">
        <f t="shared" si="30"/>
        <v>Overdue</v>
      </c>
      <c r="N81" s="24"/>
      <c r="O81" s="24"/>
      <c r="P81" s="24"/>
      <c r="Q81" s="24"/>
      <c r="R81" s="24"/>
      <c r="S81" s="24"/>
      <c r="T81" s="24"/>
      <c r="U81" s="24"/>
    </row>
    <row r="82">
      <c r="A82" s="13" t="s">
        <v>258</v>
      </c>
      <c r="B82" s="14">
        <v>7.02627639E8</v>
      </c>
      <c r="C82" s="13" t="s">
        <v>259</v>
      </c>
      <c r="D82" s="14">
        <v>7.52235134E8</v>
      </c>
      <c r="E82" s="13" t="s">
        <v>26</v>
      </c>
      <c r="F82" s="26">
        <v>70000.0</v>
      </c>
      <c r="G82" s="26">
        <v>30.0</v>
      </c>
      <c r="H82" s="26">
        <f t="shared" si="1"/>
        <v>21000</v>
      </c>
      <c r="I82" s="26">
        <f t="shared" si="34"/>
        <v>91000</v>
      </c>
      <c r="J82" s="26">
        <f t="shared" si="35"/>
        <v>3000</v>
      </c>
      <c r="K82" s="29">
        <v>45753.0</v>
      </c>
      <c r="L82" s="30">
        <v>45783.0</v>
      </c>
      <c r="M82" s="13" t="str">
        <f t="shared" si="30"/>
        <v>Overdue</v>
      </c>
      <c r="N82" s="24"/>
      <c r="O82" s="24"/>
      <c r="P82" s="24"/>
      <c r="Q82" s="24"/>
      <c r="R82" s="24"/>
      <c r="S82" s="24"/>
      <c r="T82" s="24"/>
      <c r="U82" s="24"/>
    </row>
    <row r="83">
      <c r="A83" s="13" t="s">
        <v>260</v>
      </c>
      <c r="B83" s="14">
        <v>7.58189317E8</v>
      </c>
      <c r="C83" s="13" t="s">
        <v>77</v>
      </c>
      <c r="D83" s="14">
        <v>7.51612906E8</v>
      </c>
      <c r="E83" s="13" t="s">
        <v>5</v>
      </c>
      <c r="F83" s="26">
        <v>100000.0</v>
      </c>
      <c r="G83" s="26">
        <v>30.0</v>
      </c>
      <c r="H83" s="26">
        <f t="shared" si="1"/>
        <v>30000</v>
      </c>
      <c r="I83" s="26">
        <f t="shared" si="34"/>
        <v>130000</v>
      </c>
      <c r="J83" s="26">
        <f t="shared" si="35"/>
        <v>4300</v>
      </c>
      <c r="K83" s="29">
        <v>45686.0</v>
      </c>
      <c r="L83" s="29">
        <v>45717.0</v>
      </c>
      <c r="M83" s="13" t="str">
        <f t="shared" si="30"/>
        <v>Overdue</v>
      </c>
      <c r="N83" s="24"/>
      <c r="O83" s="24"/>
      <c r="P83" s="24"/>
      <c r="Q83" s="24"/>
      <c r="R83" s="24"/>
      <c r="S83" s="24"/>
      <c r="T83" s="24"/>
      <c r="U83" s="24"/>
    </row>
    <row r="84">
      <c r="A84" s="3" t="s">
        <v>261</v>
      </c>
      <c r="B84" s="47">
        <v>7.43927852E8</v>
      </c>
      <c r="C84" s="3"/>
      <c r="D84" s="33">
        <v>7.46064748E8</v>
      </c>
      <c r="E84" s="50" t="s">
        <v>83</v>
      </c>
      <c r="F84" s="34">
        <v>300000.0</v>
      </c>
      <c r="G84" s="33">
        <v>60.0</v>
      </c>
      <c r="H84" s="26">
        <f t="shared" si="1"/>
        <v>207000</v>
      </c>
      <c r="I84" s="26">
        <f t="shared" si="34"/>
        <v>507000</v>
      </c>
      <c r="J84" s="26">
        <f>I84/G84</f>
        <v>8450</v>
      </c>
      <c r="K84" s="29">
        <v>45815.0</v>
      </c>
      <c r="L84" s="30">
        <v>45845.0</v>
      </c>
      <c r="M84" s="13" t="str">
        <f t="shared" si="30"/>
        <v>Overdue</v>
      </c>
      <c r="N84" s="24"/>
      <c r="O84" s="24"/>
      <c r="P84" s="24"/>
      <c r="Q84" s="24"/>
      <c r="R84" s="24"/>
      <c r="S84" s="24"/>
      <c r="T84" s="24"/>
      <c r="U84" s="24"/>
    </row>
    <row r="85">
      <c r="A85" s="13" t="s">
        <v>262</v>
      </c>
      <c r="B85" s="14">
        <v>7.53475536E8</v>
      </c>
      <c r="C85" s="13" t="s">
        <v>263</v>
      </c>
      <c r="D85" s="26">
        <v>7.52616373E8</v>
      </c>
      <c r="E85" s="13" t="s">
        <v>138</v>
      </c>
      <c r="F85" s="26">
        <v>400000.0</v>
      </c>
      <c r="G85" s="26">
        <v>30.0</v>
      </c>
      <c r="H85" s="26">
        <f t="shared" si="1"/>
        <v>120000</v>
      </c>
      <c r="I85" s="26">
        <f t="shared" si="34"/>
        <v>520000</v>
      </c>
      <c r="J85" s="26">
        <f t="shared" ref="J85:J87" si="36">Round(I85/G85,-2)</f>
        <v>17300</v>
      </c>
      <c r="K85" s="29">
        <v>45762.0</v>
      </c>
      <c r="L85" s="30">
        <v>45792.0</v>
      </c>
      <c r="M85" s="13" t="str">
        <f t="shared" si="30"/>
        <v>Overdue</v>
      </c>
      <c r="N85" s="24"/>
      <c r="O85" s="24"/>
      <c r="P85" s="24"/>
      <c r="Q85" s="24"/>
      <c r="R85" s="24"/>
      <c r="S85" s="24"/>
      <c r="T85" s="24"/>
      <c r="U85" s="24"/>
    </row>
    <row r="86">
      <c r="A86" s="41" t="s">
        <v>58</v>
      </c>
      <c r="B86" s="49">
        <v>7.69156574E8</v>
      </c>
      <c r="C86" s="41" t="s">
        <v>59</v>
      </c>
      <c r="D86" s="49">
        <v>7.01856117E8</v>
      </c>
      <c r="E86" s="41" t="s">
        <v>60</v>
      </c>
      <c r="F86" s="37">
        <v>300000.0</v>
      </c>
      <c r="G86" s="37">
        <v>30.0</v>
      </c>
      <c r="H86" s="37">
        <f t="shared" si="1"/>
        <v>90000</v>
      </c>
      <c r="I86" s="37">
        <f t="shared" si="34"/>
        <v>390000</v>
      </c>
      <c r="J86" s="37">
        <f t="shared" si="36"/>
        <v>13000</v>
      </c>
      <c r="K86" s="40">
        <v>45763.0</v>
      </c>
      <c r="L86" s="40">
        <v>45824.0</v>
      </c>
      <c r="M86" s="41" t="str">
        <f t="shared" si="30"/>
        <v>Overdue</v>
      </c>
      <c r="N86" s="42"/>
      <c r="O86" s="42"/>
      <c r="P86" s="42"/>
      <c r="Q86" s="42"/>
      <c r="R86" s="42"/>
      <c r="S86" s="42"/>
      <c r="T86" s="42"/>
      <c r="U86" s="42"/>
    </row>
    <row r="87">
      <c r="A87" s="13" t="s">
        <v>264</v>
      </c>
      <c r="B87" s="14">
        <v>7.81911494E8</v>
      </c>
      <c r="C87" s="13" t="s">
        <v>265</v>
      </c>
      <c r="D87" s="14">
        <v>7.73565607E8</v>
      </c>
      <c r="E87" s="13" t="s">
        <v>266</v>
      </c>
      <c r="F87" s="26">
        <v>400000.0</v>
      </c>
      <c r="G87" s="14">
        <v>30.0</v>
      </c>
      <c r="H87" s="26">
        <f t="shared" si="1"/>
        <v>120000</v>
      </c>
      <c r="I87" s="26">
        <f t="shared" si="34"/>
        <v>520000</v>
      </c>
      <c r="J87" s="26">
        <f t="shared" si="36"/>
        <v>17300</v>
      </c>
      <c r="K87" s="29">
        <v>45777.0</v>
      </c>
      <c r="L87" s="30">
        <v>45807.0</v>
      </c>
      <c r="M87" s="13" t="str">
        <f t="shared" si="30"/>
        <v>Overdue</v>
      </c>
      <c r="N87" s="24"/>
      <c r="O87" s="24"/>
      <c r="P87" s="24"/>
      <c r="Q87" s="24"/>
      <c r="R87" s="24"/>
      <c r="S87" s="24"/>
      <c r="T87" s="24"/>
      <c r="U87" s="24"/>
    </row>
    <row r="88">
      <c r="A88" s="45" t="s">
        <v>267</v>
      </c>
      <c r="B88" s="58">
        <v>7.66128742E8</v>
      </c>
      <c r="C88" s="45" t="s">
        <v>268</v>
      </c>
      <c r="D88" s="58">
        <v>7.82173306E8</v>
      </c>
      <c r="E88" s="45" t="s">
        <v>26</v>
      </c>
      <c r="F88" s="59">
        <v>1200000.0</v>
      </c>
      <c r="G88" s="59">
        <v>30.0</v>
      </c>
      <c r="H88" s="31">
        <f t="shared" si="1"/>
        <v>360000</v>
      </c>
      <c r="I88" s="31">
        <f t="shared" si="34"/>
        <v>1560000</v>
      </c>
      <c r="J88" s="31">
        <f>I88/G88</f>
        <v>52000</v>
      </c>
      <c r="K88" s="53">
        <v>45856.0</v>
      </c>
      <c r="L88" s="52">
        <v>45887.0</v>
      </c>
      <c r="M88" s="43" t="str">
        <f t="shared" si="30"/>
        <v>Overdue</v>
      </c>
      <c r="N88" s="24"/>
      <c r="O88" s="24"/>
      <c r="P88" s="24"/>
      <c r="Q88" s="24"/>
      <c r="R88" s="24"/>
      <c r="S88" s="24"/>
      <c r="T88" s="24"/>
      <c r="U88" s="24"/>
    </row>
    <row r="89">
      <c r="A89" s="43" t="s">
        <v>269</v>
      </c>
      <c r="B89" s="44">
        <v>7.55664324E8</v>
      </c>
      <c r="C89" s="43" t="s">
        <v>270</v>
      </c>
      <c r="D89" s="44">
        <v>7.82721046E8</v>
      </c>
      <c r="E89" s="43" t="s">
        <v>26</v>
      </c>
      <c r="F89" s="22">
        <v>352000.0</v>
      </c>
      <c r="G89" s="22">
        <v>60.0</v>
      </c>
      <c r="H89" s="31">
        <f t="shared" si="1"/>
        <v>242880</v>
      </c>
      <c r="I89" s="31">
        <f t="shared" si="34"/>
        <v>594880</v>
      </c>
      <c r="J89" s="31">
        <f t="shared" ref="J89:J91" si="37">Round(I89/G89,-2)</f>
        <v>9900</v>
      </c>
      <c r="K89" s="53">
        <v>45855.0</v>
      </c>
      <c r="L89" s="53">
        <v>45917.0</v>
      </c>
      <c r="M89" s="43" t="str">
        <f t="shared" si="30"/>
        <v>Overdue</v>
      </c>
      <c r="N89" s="54"/>
      <c r="O89" s="54"/>
      <c r="P89" s="54"/>
      <c r="Q89" s="54"/>
      <c r="R89" s="54"/>
      <c r="S89" s="54"/>
      <c r="T89" s="54"/>
      <c r="U89" s="54"/>
    </row>
    <row r="90">
      <c r="A90" s="13" t="s">
        <v>271</v>
      </c>
      <c r="B90" s="13" t="s">
        <v>272</v>
      </c>
      <c r="C90" s="13" t="s">
        <v>273</v>
      </c>
      <c r="D90" s="14">
        <v>7.71661323E8</v>
      </c>
      <c r="E90" s="13" t="s">
        <v>54</v>
      </c>
      <c r="F90" s="26">
        <v>172000.0</v>
      </c>
      <c r="G90" s="26">
        <v>30.0</v>
      </c>
      <c r="H90" s="26">
        <f t="shared" si="1"/>
        <v>51600</v>
      </c>
      <c r="I90" s="26">
        <f t="shared" si="34"/>
        <v>223600</v>
      </c>
      <c r="J90" s="26">
        <f t="shared" si="37"/>
        <v>7500</v>
      </c>
      <c r="K90" s="30">
        <v>45797.0</v>
      </c>
      <c r="L90" s="29">
        <v>45828.0</v>
      </c>
      <c r="M90" s="13" t="str">
        <f t="shared" si="30"/>
        <v>Overdue</v>
      </c>
      <c r="N90" s="24"/>
      <c r="O90" s="24"/>
      <c r="P90" s="24"/>
      <c r="Q90" s="24"/>
      <c r="R90" s="24"/>
      <c r="S90" s="24"/>
      <c r="T90" s="24"/>
      <c r="U90" s="24"/>
    </row>
    <row r="91">
      <c r="A91" s="60" t="s">
        <v>274</v>
      </c>
      <c r="B91" s="14">
        <v>7.08250755E8</v>
      </c>
      <c r="C91" s="13" t="s">
        <v>275</v>
      </c>
      <c r="D91" s="26">
        <v>7.68622391E8</v>
      </c>
      <c r="E91" s="13" t="s">
        <v>138</v>
      </c>
      <c r="F91" s="25">
        <v>639000.0</v>
      </c>
      <c r="G91" s="25">
        <v>30.0</v>
      </c>
      <c r="H91" s="26">
        <f t="shared" si="1"/>
        <v>191700</v>
      </c>
      <c r="I91" s="26">
        <f t="shared" si="34"/>
        <v>830700</v>
      </c>
      <c r="J91" s="26">
        <f t="shared" si="37"/>
        <v>27700</v>
      </c>
      <c r="K91" s="29">
        <v>45762.0</v>
      </c>
      <c r="L91" s="29">
        <v>45823.0</v>
      </c>
      <c r="M91" s="13" t="str">
        <f t="shared" si="30"/>
        <v>Overdue</v>
      </c>
      <c r="N91" s="24"/>
      <c r="O91" s="24"/>
      <c r="P91" s="24"/>
      <c r="Q91" s="24"/>
      <c r="R91" s="24"/>
      <c r="S91" s="24"/>
      <c r="T91" s="24"/>
      <c r="U91" s="24"/>
    </row>
    <row r="92">
      <c r="A92" s="13" t="s">
        <v>276</v>
      </c>
      <c r="B92" s="13" t="s">
        <v>277</v>
      </c>
      <c r="C92" s="13" t="s">
        <v>278</v>
      </c>
      <c r="D92" s="14">
        <v>7.525502707E9</v>
      </c>
      <c r="E92" s="13" t="s">
        <v>279</v>
      </c>
      <c r="F92" s="25">
        <v>639000.0</v>
      </c>
      <c r="G92" s="25">
        <v>30.0</v>
      </c>
      <c r="H92" s="26">
        <f t="shared" si="1"/>
        <v>191700</v>
      </c>
      <c r="I92" s="26">
        <f t="shared" si="34"/>
        <v>830700</v>
      </c>
      <c r="J92" s="26">
        <f>I92/G92</f>
        <v>27690</v>
      </c>
      <c r="K92" s="30">
        <v>45790.0</v>
      </c>
      <c r="L92" s="29">
        <v>45882.0</v>
      </c>
      <c r="M92" s="13" t="str">
        <f t="shared" si="30"/>
        <v>Overdue</v>
      </c>
      <c r="N92" s="24"/>
      <c r="O92" s="24"/>
      <c r="P92" s="24"/>
      <c r="Q92" s="24"/>
      <c r="R92" s="24"/>
      <c r="S92" s="24"/>
      <c r="T92" s="24"/>
      <c r="U92" s="24"/>
    </row>
    <row r="93">
      <c r="A93" s="3" t="s">
        <v>280</v>
      </c>
      <c r="B93" s="33">
        <v>7.44973008E8</v>
      </c>
      <c r="C93" s="3" t="s">
        <v>281</v>
      </c>
      <c r="D93" s="33">
        <v>7.56917159E8</v>
      </c>
      <c r="E93" s="3" t="s">
        <v>45</v>
      </c>
      <c r="F93" s="33">
        <v>160000.0</v>
      </c>
      <c r="G93" s="47">
        <v>30.0</v>
      </c>
      <c r="H93" s="26">
        <f t="shared" si="1"/>
        <v>48000</v>
      </c>
      <c r="I93" s="26">
        <f t="shared" si="34"/>
        <v>208000</v>
      </c>
      <c r="J93" s="26">
        <f>Round(I93/G93,-2)</f>
        <v>6900</v>
      </c>
      <c r="K93" s="30">
        <v>45798.0</v>
      </c>
      <c r="L93" s="29">
        <v>45829.0</v>
      </c>
      <c r="M93" s="13" t="str">
        <f t="shared" si="30"/>
        <v>Overdue</v>
      </c>
      <c r="N93" s="24"/>
      <c r="O93" s="24"/>
      <c r="P93" s="24"/>
      <c r="Q93" s="24"/>
      <c r="R93" s="24"/>
      <c r="S93" s="24"/>
      <c r="T93" s="24"/>
      <c r="U93" s="24"/>
    </row>
    <row r="94">
      <c r="A94" s="41" t="s">
        <v>50</v>
      </c>
      <c r="B94" s="49">
        <v>7.08019355E8</v>
      </c>
      <c r="C94" s="41" t="s">
        <v>51</v>
      </c>
      <c r="D94" s="49">
        <v>7.05392134E8</v>
      </c>
      <c r="E94" s="41" t="s">
        <v>45</v>
      </c>
      <c r="F94" s="37">
        <v>80000.0</v>
      </c>
      <c r="G94" s="37">
        <v>30.0</v>
      </c>
      <c r="H94" s="37">
        <f t="shared" si="1"/>
        <v>24000</v>
      </c>
      <c r="I94" s="37">
        <f t="shared" si="34"/>
        <v>104000</v>
      </c>
      <c r="J94" s="37">
        <f>I94/G94</f>
        <v>3466.666667</v>
      </c>
      <c r="K94" s="40">
        <v>45744.0</v>
      </c>
      <c r="L94" s="40">
        <v>45775.0</v>
      </c>
      <c r="M94" s="41" t="s">
        <v>120</v>
      </c>
      <c r="N94" s="42"/>
      <c r="O94" s="42"/>
      <c r="P94" s="42"/>
      <c r="Q94" s="42"/>
      <c r="R94" s="42"/>
      <c r="S94" s="42"/>
      <c r="T94" s="42"/>
      <c r="U94" s="42"/>
    </row>
    <row r="95">
      <c r="A95" s="13" t="s">
        <v>282</v>
      </c>
      <c r="B95" s="14">
        <v>7.03894974E8</v>
      </c>
      <c r="C95" s="13" t="s">
        <v>283</v>
      </c>
      <c r="D95" s="14">
        <v>7.53815279E8</v>
      </c>
      <c r="E95" s="13" t="s">
        <v>26</v>
      </c>
      <c r="F95" s="26">
        <v>140000.0</v>
      </c>
      <c r="G95" s="26">
        <v>30.0</v>
      </c>
      <c r="H95" s="26">
        <f t="shared" si="1"/>
        <v>42000</v>
      </c>
      <c r="I95" s="26">
        <f t="shared" si="34"/>
        <v>182000</v>
      </c>
      <c r="J95" s="26">
        <f t="shared" ref="J95:J96" si="38">Round(I95/G95,-2)</f>
        <v>6100</v>
      </c>
      <c r="K95" s="29">
        <v>45688.0</v>
      </c>
      <c r="L95" s="29">
        <v>45748.0</v>
      </c>
      <c r="M95" s="13" t="str">
        <f t="shared" ref="M95:M100" si="39">IF(TODAY()&gt;L95,"Overdue", IF(I95=0, "Cleared", "Active"))</f>
        <v>Overdue</v>
      </c>
      <c r="N95" s="24"/>
      <c r="O95" s="24"/>
      <c r="P95" s="24"/>
      <c r="Q95" s="24"/>
      <c r="R95" s="24"/>
      <c r="S95" s="24"/>
      <c r="T95" s="24"/>
      <c r="U95" s="24"/>
    </row>
    <row r="96">
      <c r="A96" s="13" t="s">
        <v>284</v>
      </c>
      <c r="B96" s="14">
        <v>7.01948082E8</v>
      </c>
      <c r="C96" s="13" t="s">
        <v>285</v>
      </c>
      <c r="D96" s="14">
        <v>7.56987754E8</v>
      </c>
      <c r="E96" s="13" t="s">
        <v>23</v>
      </c>
      <c r="F96" s="26">
        <v>200000.0</v>
      </c>
      <c r="G96" s="26">
        <v>30.0</v>
      </c>
      <c r="H96" s="26">
        <f t="shared" si="1"/>
        <v>60000</v>
      </c>
      <c r="I96" s="26">
        <f t="shared" si="34"/>
        <v>260000</v>
      </c>
      <c r="J96" s="26">
        <f t="shared" si="38"/>
        <v>8700</v>
      </c>
      <c r="K96" s="29">
        <v>45701.0</v>
      </c>
      <c r="L96" s="29">
        <v>45730.0</v>
      </c>
      <c r="M96" s="13" t="str">
        <f t="shared" si="39"/>
        <v>Overdue</v>
      </c>
      <c r="N96" s="24"/>
      <c r="O96" s="24"/>
      <c r="P96" s="24"/>
      <c r="Q96" s="24"/>
      <c r="R96" s="24"/>
      <c r="S96" s="24"/>
      <c r="T96" s="24"/>
      <c r="U96" s="24"/>
    </row>
    <row r="97">
      <c r="A97" s="19" t="s">
        <v>286</v>
      </c>
      <c r="B97" s="19">
        <v>7.78350334E8</v>
      </c>
      <c r="C97" s="19" t="s">
        <v>287</v>
      </c>
      <c r="D97" s="19">
        <v>7.70619558E8</v>
      </c>
      <c r="E97" s="19" t="s">
        <v>26</v>
      </c>
      <c r="F97" s="61">
        <v>1109100.0</v>
      </c>
      <c r="G97" s="19">
        <v>60.0</v>
      </c>
      <c r="H97" s="31">
        <f t="shared" si="1"/>
        <v>765279</v>
      </c>
      <c r="I97" s="31">
        <f t="shared" si="34"/>
        <v>1874379</v>
      </c>
      <c r="J97" s="31">
        <f>I97/G97</f>
        <v>31239.65</v>
      </c>
      <c r="K97" s="53">
        <v>45855.0</v>
      </c>
      <c r="L97" s="52">
        <v>45917.0</v>
      </c>
      <c r="M97" s="43" t="str">
        <f t="shared" si="39"/>
        <v>Overdue</v>
      </c>
      <c r="N97" s="24"/>
      <c r="O97" s="24"/>
      <c r="P97" s="24"/>
      <c r="Q97" s="24"/>
      <c r="R97" s="24"/>
      <c r="S97" s="24"/>
      <c r="T97" s="24"/>
      <c r="U97" s="24"/>
    </row>
    <row r="98">
      <c r="A98" s="13" t="s">
        <v>288</v>
      </c>
      <c r="B98" s="14">
        <v>7.53782518E8</v>
      </c>
      <c r="C98" s="13" t="s">
        <v>289</v>
      </c>
      <c r="D98" s="14">
        <v>7.56316521E8</v>
      </c>
      <c r="E98" s="13" t="s">
        <v>5</v>
      </c>
      <c r="F98" s="26">
        <v>120000.0</v>
      </c>
      <c r="G98" s="14">
        <v>30.0</v>
      </c>
      <c r="H98" s="26">
        <f t="shared" si="1"/>
        <v>36000</v>
      </c>
      <c r="I98" s="26">
        <f t="shared" si="34"/>
        <v>156000</v>
      </c>
      <c r="J98" s="26">
        <f t="shared" ref="J98:J100" si="40">Round(I98/G98,-2)</f>
        <v>5200</v>
      </c>
      <c r="K98" s="29">
        <v>45678.0</v>
      </c>
      <c r="L98" s="29">
        <v>45737.0</v>
      </c>
      <c r="M98" s="13" t="str">
        <f t="shared" si="39"/>
        <v>Overdue</v>
      </c>
      <c r="N98" s="56"/>
      <c r="O98" s="56"/>
      <c r="P98" s="56"/>
      <c r="Q98" s="56"/>
      <c r="R98" s="56"/>
      <c r="S98" s="56"/>
      <c r="T98" s="56"/>
      <c r="U98" s="56"/>
    </row>
    <row r="99">
      <c r="A99" s="13" t="s">
        <v>290</v>
      </c>
      <c r="B99" s="14">
        <v>7.00838634E8</v>
      </c>
      <c r="C99" s="13" t="s">
        <v>291</v>
      </c>
      <c r="D99" s="14">
        <v>7.56171416E8</v>
      </c>
      <c r="E99" s="13" t="s">
        <v>5</v>
      </c>
      <c r="F99" s="26">
        <v>260000.0</v>
      </c>
      <c r="G99" s="14">
        <v>30.0</v>
      </c>
      <c r="H99" s="26">
        <f t="shared" si="1"/>
        <v>78000</v>
      </c>
      <c r="I99" s="26">
        <f t="shared" si="34"/>
        <v>338000</v>
      </c>
      <c r="J99" s="26">
        <f t="shared" si="40"/>
        <v>11300</v>
      </c>
      <c r="K99" s="29">
        <v>45667.0</v>
      </c>
      <c r="L99" s="29">
        <v>45757.0</v>
      </c>
      <c r="M99" s="13" t="str">
        <f t="shared" si="39"/>
        <v>Overdue</v>
      </c>
      <c r="N99" s="56"/>
      <c r="O99" s="56"/>
      <c r="P99" s="56"/>
      <c r="Q99" s="56"/>
      <c r="R99" s="56"/>
      <c r="S99" s="56"/>
      <c r="T99" s="56"/>
      <c r="U99" s="56"/>
    </row>
    <row r="100">
      <c r="A100" s="13" t="s">
        <v>292</v>
      </c>
      <c r="B100" s="14">
        <v>7.08901461E8</v>
      </c>
      <c r="C100" s="13" t="s">
        <v>293</v>
      </c>
      <c r="D100" s="14">
        <v>7.55545237E8</v>
      </c>
      <c r="E100" s="13" t="s">
        <v>114</v>
      </c>
      <c r="F100" s="26">
        <v>200000.0</v>
      </c>
      <c r="G100" s="26">
        <v>30.0</v>
      </c>
      <c r="H100" s="26">
        <f t="shared" si="1"/>
        <v>60000</v>
      </c>
      <c r="I100" s="26">
        <f t="shared" si="34"/>
        <v>260000</v>
      </c>
      <c r="J100" s="26">
        <f t="shared" si="40"/>
        <v>8700</v>
      </c>
      <c r="K100" s="30">
        <v>45792.0</v>
      </c>
      <c r="L100" s="29">
        <v>45823.0</v>
      </c>
      <c r="M100" s="13" t="str">
        <f t="shared" si="39"/>
        <v>Overdue</v>
      </c>
      <c r="N100" s="55"/>
      <c r="O100" s="55"/>
      <c r="P100" s="55"/>
      <c r="Q100" s="55"/>
      <c r="R100" s="55"/>
      <c r="S100" s="55"/>
      <c r="T100" s="55"/>
      <c r="U100" s="55"/>
    </row>
    <row r="101">
      <c r="A101" s="41" t="s">
        <v>69</v>
      </c>
      <c r="B101" s="49">
        <v>7.04815621E8</v>
      </c>
      <c r="C101" s="41" t="s">
        <v>70</v>
      </c>
      <c r="D101" s="49">
        <v>7.51394121E8</v>
      </c>
      <c r="E101" s="41" t="s">
        <v>71</v>
      </c>
      <c r="F101" s="37">
        <v>120000.0</v>
      </c>
      <c r="G101" s="37">
        <v>30.0</v>
      </c>
      <c r="H101" s="37">
        <f t="shared" si="1"/>
        <v>36000</v>
      </c>
      <c r="I101" s="38">
        <v>156000.0</v>
      </c>
      <c r="J101" s="37">
        <f>I101/G101</f>
        <v>5200</v>
      </c>
      <c r="K101" s="40">
        <v>45729.0</v>
      </c>
      <c r="L101" s="40">
        <v>45760.0</v>
      </c>
      <c r="M101" s="41" t="s">
        <v>120</v>
      </c>
      <c r="N101" s="42"/>
      <c r="O101" s="42"/>
      <c r="P101" s="42"/>
      <c r="Q101" s="42"/>
      <c r="R101" s="42"/>
      <c r="S101" s="42"/>
      <c r="T101" s="42"/>
      <c r="U101" s="42"/>
    </row>
    <row r="102">
      <c r="A102" s="13" t="s">
        <v>294</v>
      </c>
      <c r="B102" s="14">
        <v>7.57598341E8</v>
      </c>
      <c r="C102" s="13" t="s">
        <v>295</v>
      </c>
      <c r="D102" s="62">
        <v>2.25001E12</v>
      </c>
      <c r="E102" s="13" t="s">
        <v>57</v>
      </c>
      <c r="F102" s="26">
        <v>43800.0</v>
      </c>
      <c r="G102" s="26">
        <v>30.0</v>
      </c>
      <c r="H102" s="26">
        <f t="shared" si="1"/>
        <v>13140</v>
      </c>
      <c r="I102" s="26">
        <f t="shared" ref="I102:I104" si="41">F102*(1+0.3)^(G102/30)</f>
        <v>56940</v>
      </c>
      <c r="J102" s="26">
        <f t="shared" ref="J102:J104" si="42">Round(I102/G102,-2)</f>
        <v>1900</v>
      </c>
      <c r="K102" s="29">
        <v>45763.0</v>
      </c>
      <c r="L102" s="30">
        <v>45793.0</v>
      </c>
      <c r="M102" s="13" t="str">
        <f t="shared" ref="M102:M109" si="43">IF(TODAY()&gt;L102,"Overdue", IF(I102=0, "Cleared", "Active"))</f>
        <v>Overdue</v>
      </c>
      <c r="N102" s="24"/>
      <c r="O102" s="24"/>
      <c r="P102" s="24"/>
      <c r="Q102" s="24"/>
      <c r="R102" s="24"/>
      <c r="S102" s="24"/>
      <c r="T102" s="24"/>
      <c r="U102" s="24"/>
    </row>
    <row r="103">
      <c r="A103" s="13" t="s">
        <v>296</v>
      </c>
      <c r="B103" s="14">
        <v>7.05929889E8</v>
      </c>
      <c r="C103" s="13" t="s">
        <v>297</v>
      </c>
      <c r="D103" s="14">
        <v>7.55681118E8</v>
      </c>
      <c r="E103" s="13" t="s">
        <v>26</v>
      </c>
      <c r="F103" s="26">
        <v>100000.0</v>
      </c>
      <c r="G103" s="26">
        <v>30.0</v>
      </c>
      <c r="H103" s="26">
        <f t="shared" si="1"/>
        <v>30000</v>
      </c>
      <c r="I103" s="26">
        <f t="shared" si="41"/>
        <v>130000</v>
      </c>
      <c r="J103" s="26">
        <f t="shared" si="42"/>
        <v>4300</v>
      </c>
      <c r="K103" s="30">
        <v>45781.0</v>
      </c>
      <c r="L103" s="29">
        <v>45813.0</v>
      </c>
      <c r="M103" s="13" t="str">
        <f t="shared" si="43"/>
        <v>Overdue</v>
      </c>
      <c r="N103" s="24"/>
      <c r="O103" s="24"/>
      <c r="P103" s="24"/>
      <c r="Q103" s="24"/>
      <c r="R103" s="24"/>
      <c r="S103" s="24"/>
      <c r="T103" s="24"/>
      <c r="U103" s="24"/>
    </row>
    <row r="104">
      <c r="A104" s="13" t="s">
        <v>298</v>
      </c>
      <c r="B104" s="14">
        <v>7.05194015E8</v>
      </c>
      <c r="C104" s="13" t="s">
        <v>295</v>
      </c>
      <c r="D104" s="62">
        <v>2.25001E12</v>
      </c>
      <c r="E104" s="13" t="s">
        <v>54</v>
      </c>
      <c r="F104" s="25">
        <v>84000.0</v>
      </c>
      <c r="G104" s="25">
        <v>90.0</v>
      </c>
      <c r="H104" s="26">
        <f t="shared" si="1"/>
        <v>100548</v>
      </c>
      <c r="I104" s="26">
        <f t="shared" si="41"/>
        <v>184548</v>
      </c>
      <c r="J104" s="26">
        <f t="shared" si="42"/>
        <v>2100</v>
      </c>
      <c r="K104" s="29">
        <v>45775.0</v>
      </c>
      <c r="L104" s="30">
        <v>45805.0</v>
      </c>
      <c r="M104" s="13" t="str">
        <f t="shared" si="43"/>
        <v>Overdue</v>
      </c>
      <c r="N104" s="24"/>
      <c r="O104" s="24"/>
      <c r="P104" s="24"/>
      <c r="Q104" s="24"/>
      <c r="R104" s="24"/>
      <c r="S104" s="24"/>
      <c r="T104" s="24"/>
      <c r="U104" s="24"/>
    </row>
    <row r="105">
      <c r="A105" s="63" t="s">
        <v>299</v>
      </c>
      <c r="B105" s="63">
        <v>7.59336805E8</v>
      </c>
      <c r="C105" s="63" t="s">
        <v>300</v>
      </c>
      <c r="D105" s="63">
        <v>7.06962862E8</v>
      </c>
      <c r="E105" s="63" t="s">
        <v>83</v>
      </c>
      <c r="F105" s="64">
        <v>300000.0</v>
      </c>
      <c r="G105" s="63">
        <v>30.0</v>
      </c>
      <c r="H105" s="31">
        <f t="shared" si="1"/>
        <v>90000</v>
      </c>
      <c r="I105" s="31">
        <f>F105*(1+0.3)^(G105/30)+20000</f>
        <v>410000</v>
      </c>
      <c r="J105" s="31">
        <f>I105/G105</f>
        <v>13666.66667</v>
      </c>
      <c r="K105" s="63" t="s">
        <v>301</v>
      </c>
      <c r="L105" s="65">
        <v>45938.0</v>
      </c>
      <c r="M105" s="43" t="str">
        <f t="shared" si="43"/>
        <v>Overdue</v>
      </c>
      <c r="N105" s="24"/>
      <c r="O105" s="24"/>
      <c r="P105" s="24"/>
      <c r="Q105" s="24"/>
      <c r="R105" s="24"/>
      <c r="S105" s="24"/>
      <c r="T105" s="24"/>
      <c r="U105" s="24"/>
    </row>
    <row r="106">
      <c r="A106" s="13" t="s">
        <v>302</v>
      </c>
      <c r="B106" s="14">
        <v>7.7631342E8</v>
      </c>
      <c r="C106" s="13" t="s">
        <v>303</v>
      </c>
      <c r="D106" s="14" t="s">
        <v>304</v>
      </c>
      <c r="E106" s="13" t="s">
        <v>45</v>
      </c>
      <c r="F106" s="25">
        <v>200000.0</v>
      </c>
      <c r="G106" s="26">
        <v>30.0</v>
      </c>
      <c r="H106" s="26">
        <f t="shared" si="1"/>
        <v>60000</v>
      </c>
      <c r="I106" s="26">
        <f t="shared" ref="I106:I109" si="44">F106*(1+0.3)^(G106/30)</f>
        <v>260000</v>
      </c>
      <c r="J106" s="26">
        <f t="shared" ref="J106:J109" si="45">Round(I106/G106,-2)</f>
        <v>8700</v>
      </c>
      <c r="K106" s="27">
        <v>45877.0</v>
      </c>
      <c r="L106" s="27">
        <v>45908.0</v>
      </c>
      <c r="M106" s="13" t="str">
        <f t="shared" si="43"/>
        <v>Overdue</v>
      </c>
      <c r="N106" s="24"/>
      <c r="O106" s="24"/>
      <c r="P106" s="24"/>
      <c r="Q106" s="24"/>
      <c r="R106" s="24"/>
      <c r="S106" s="24"/>
      <c r="T106" s="24"/>
      <c r="U106" s="24"/>
    </row>
    <row r="107">
      <c r="A107" s="13" t="s">
        <v>305</v>
      </c>
      <c r="B107" s="14">
        <v>7.00865695E8</v>
      </c>
      <c r="C107" s="13" t="s">
        <v>306</v>
      </c>
      <c r="D107" s="14">
        <v>7.0499576E8</v>
      </c>
      <c r="E107" s="13" t="s">
        <v>57</v>
      </c>
      <c r="F107" s="26">
        <v>400000.0</v>
      </c>
      <c r="G107" s="26">
        <v>30.0</v>
      </c>
      <c r="H107" s="26">
        <f t="shared" si="1"/>
        <v>120000</v>
      </c>
      <c r="I107" s="26">
        <f t="shared" si="44"/>
        <v>520000</v>
      </c>
      <c r="J107" s="26">
        <f t="shared" si="45"/>
        <v>17300</v>
      </c>
      <c r="K107" s="30">
        <v>45797.0</v>
      </c>
      <c r="L107" s="29">
        <v>45828.0</v>
      </c>
      <c r="M107" s="13" t="str">
        <f t="shared" si="43"/>
        <v>Overdue</v>
      </c>
      <c r="N107" s="24"/>
      <c r="O107" s="24"/>
      <c r="P107" s="24"/>
      <c r="Q107" s="24"/>
      <c r="R107" s="24"/>
      <c r="S107" s="24"/>
      <c r="T107" s="24"/>
      <c r="U107" s="24"/>
    </row>
    <row r="108">
      <c r="A108" s="13" t="s">
        <v>307</v>
      </c>
      <c r="B108" s="14">
        <v>7.03729645E8</v>
      </c>
      <c r="C108" s="13" t="s">
        <v>308</v>
      </c>
      <c r="D108" s="14">
        <v>7.83835114E8</v>
      </c>
      <c r="E108" s="13" t="s">
        <v>143</v>
      </c>
      <c r="F108" s="26">
        <v>300000.0</v>
      </c>
      <c r="G108" s="14">
        <v>30.0</v>
      </c>
      <c r="H108" s="26">
        <f t="shared" si="1"/>
        <v>90000</v>
      </c>
      <c r="I108" s="26">
        <f t="shared" si="44"/>
        <v>390000</v>
      </c>
      <c r="J108" s="26">
        <f t="shared" si="45"/>
        <v>13000</v>
      </c>
      <c r="K108" s="30">
        <v>45780.0</v>
      </c>
      <c r="L108" s="29">
        <v>45811.0</v>
      </c>
      <c r="M108" s="13" t="str">
        <f t="shared" si="43"/>
        <v>Overdue</v>
      </c>
      <c r="N108" s="24"/>
      <c r="O108" s="24"/>
      <c r="P108" s="24"/>
      <c r="Q108" s="24"/>
      <c r="R108" s="24"/>
      <c r="S108" s="24"/>
      <c r="T108" s="24"/>
      <c r="U108" s="24"/>
    </row>
    <row r="109">
      <c r="A109" s="13" t="s">
        <v>309</v>
      </c>
      <c r="B109" s="14">
        <v>7.0585965E7</v>
      </c>
      <c r="C109" s="13" t="s">
        <v>310</v>
      </c>
      <c r="D109" s="14">
        <v>7.80249986E8</v>
      </c>
      <c r="E109" s="3"/>
      <c r="F109" s="26">
        <v>240000.0</v>
      </c>
      <c r="G109" s="14">
        <v>30.0</v>
      </c>
      <c r="H109" s="26">
        <f t="shared" si="1"/>
        <v>72000</v>
      </c>
      <c r="I109" s="26">
        <f t="shared" si="44"/>
        <v>312000</v>
      </c>
      <c r="J109" s="26">
        <f t="shared" si="45"/>
        <v>10400</v>
      </c>
      <c r="K109" s="30">
        <v>45792.0</v>
      </c>
      <c r="L109" s="29">
        <v>45823.0</v>
      </c>
      <c r="M109" s="13" t="str">
        <f t="shared" si="43"/>
        <v>Overdue</v>
      </c>
      <c r="N109" s="24"/>
      <c r="O109" s="24"/>
      <c r="P109" s="24"/>
      <c r="Q109" s="24"/>
      <c r="R109" s="24"/>
      <c r="S109" s="24"/>
      <c r="T109" s="24"/>
      <c r="U109" s="24"/>
    </row>
    <row r="110">
      <c r="A110" s="13" t="s">
        <v>311</v>
      </c>
      <c r="B110" s="14">
        <v>7.66085588E8</v>
      </c>
      <c r="C110" s="13" t="s">
        <v>312</v>
      </c>
      <c r="D110" s="14" t="s">
        <v>313</v>
      </c>
      <c r="E110" s="50" t="s">
        <v>314</v>
      </c>
      <c r="F110" s="25">
        <v>200000.0</v>
      </c>
      <c r="G110" s="14">
        <v>30.0</v>
      </c>
      <c r="H110" s="26">
        <f t="shared" si="1"/>
        <v>60000</v>
      </c>
      <c r="I110" s="31">
        <f>F110*(1+0.3)^(G110/30)+20000</f>
        <v>280000</v>
      </c>
      <c r="J110" s="26">
        <f>I110/G110</f>
        <v>9333.333333</v>
      </c>
      <c r="K110" s="27">
        <v>45901.0</v>
      </c>
      <c r="L110" s="27">
        <v>45931.0</v>
      </c>
      <c r="M110" s="13" t="s">
        <v>120</v>
      </c>
      <c r="N110" s="24"/>
      <c r="O110" s="24"/>
      <c r="P110" s="24"/>
      <c r="Q110" s="24"/>
      <c r="R110" s="24"/>
      <c r="S110" s="24"/>
      <c r="T110" s="24"/>
      <c r="U110" s="24"/>
    </row>
    <row r="111">
      <c r="A111" s="13" t="s">
        <v>315</v>
      </c>
      <c r="B111" s="14">
        <v>7.64854637E8</v>
      </c>
      <c r="C111" s="13" t="s">
        <v>316</v>
      </c>
      <c r="D111" s="14">
        <v>7.56375971E8</v>
      </c>
      <c r="E111" s="13" t="s">
        <v>45</v>
      </c>
      <c r="F111" s="25">
        <v>170000.0</v>
      </c>
      <c r="G111" s="26">
        <v>30.0</v>
      </c>
      <c r="H111" s="26">
        <f t="shared" si="1"/>
        <v>51000</v>
      </c>
      <c r="I111" s="26">
        <f t="shared" ref="I111:I139" si="46">F111*(1+0.3)^(G111/30)</f>
        <v>221000</v>
      </c>
      <c r="J111" s="26">
        <f t="shared" ref="J111:J124" si="47">Round(I111/G111,-2)</f>
        <v>7400</v>
      </c>
      <c r="K111" s="29">
        <v>45744.0</v>
      </c>
      <c r="L111" s="29">
        <v>45775.0</v>
      </c>
      <c r="M111" s="13" t="str">
        <f t="shared" ref="M111:M131" si="48">IF(TODAY()&gt;L111,"Overdue", IF(I111=0, "Cleared", "Active"))</f>
        <v>Overdue</v>
      </c>
      <c r="N111" s="24"/>
      <c r="O111" s="24"/>
      <c r="P111" s="24"/>
      <c r="Q111" s="24"/>
      <c r="R111" s="24"/>
      <c r="S111" s="24"/>
      <c r="T111" s="24"/>
      <c r="U111" s="24"/>
    </row>
    <row r="112">
      <c r="A112" s="13" t="s">
        <v>317</v>
      </c>
      <c r="B112" s="14">
        <v>7.41412888E8</v>
      </c>
      <c r="C112" s="13" t="s">
        <v>318</v>
      </c>
      <c r="D112" s="14">
        <v>7.04561511E8</v>
      </c>
      <c r="E112" s="13" t="s">
        <v>57</v>
      </c>
      <c r="F112" s="26">
        <v>120000.0</v>
      </c>
      <c r="G112" s="26">
        <v>30.0</v>
      </c>
      <c r="H112" s="26">
        <f t="shared" si="1"/>
        <v>36000</v>
      </c>
      <c r="I112" s="26">
        <f t="shared" si="46"/>
        <v>156000</v>
      </c>
      <c r="J112" s="26">
        <f t="shared" si="47"/>
        <v>5200</v>
      </c>
      <c r="K112" s="29">
        <v>45685.0</v>
      </c>
      <c r="L112" s="29">
        <v>45716.0</v>
      </c>
      <c r="M112" s="13" t="str">
        <f t="shared" si="48"/>
        <v>Overdue</v>
      </c>
      <c r="N112" s="24"/>
      <c r="O112" s="24"/>
      <c r="P112" s="24"/>
      <c r="Q112" s="24"/>
      <c r="R112" s="24"/>
      <c r="S112" s="24"/>
      <c r="T112" s="24"/>
      <c r="U112" s="24"/>
    </row>
    <row r="113">
      <c r="A113" s="13" t="s">
        <v>319</v>
      </c>
      <c r="B113" s="14">
        <v>7.00908498E8</v>
      </c>
      <c r="C113" s="13" t="s">
        <v>252</v>
      </c>
      <c r="D113" s="14">
        <v>7.02395577E8</v>
      </c>
      <c r="E113" s="13" t="s">
        <v>320</v>
      </c>
      <c r="F113" s="25">
        <v>180000.0</v>
      </c>
      <c r="G113" s="26">
        <v>30.0</v>
      </c>
      <c r="H113" s="26">
        <f t="shared" si="1"/>
        <v>54000</v>
      </c>
      <c r="I113" s="26">
        <f t="shared" si="46"/>
        <v>234000</v>
      </c>
      <c r="J113" s="26">
        <f t="shared" si="47"/>
        <v>7800</v>
      </c>
      <c r="K113" s="29">
        <v>45680.0</v>
      </c>
      <c r="L113" s="29">
        <v>45711.0</v>
      </c>
      <c r="M113" s="13" t="str">
        <f t="shared" si="48"/>
        <v>Overdue</v>
      </c>
      <c r="N113" s="24"/>
      <c r="O113" s="24"/>
      <c r="P113" s="24"/>
      <c r="Q113" s="24"/>
      <c r="R113" s="24"/>
      <c r="S113" s="24"/>
      <c r="T113" s="24"/>
      <c r="U113" s="24"/>
    </row>
    <row r="114">
      <c r="A114" s="13" t="s">
        <v>321</v>
      </c>
      <c r="B114" s="14">
        <v>7.50814133E8</v>
      </c>
      <c r="C114" s="13" t="s">
        <v>322</v>
      </c>
      <c r="D114" s="14">
        <v>7.40963489E8</v>
      </c>
      <c r="E114" s="13" t="s">
        <v>26</v>
      </c>
      <c r="F114" s="26">
        <v>300000.0</v>
      </c>
      <c r="G114" s="26">
        <v>60.0</v>
      </c>
      <c r="H114" s="26">
        <f t="shared" si="1"/>
        <v>207000</v>
      </c>
      <c r="I114" s="26">
        <f t="shared" si="46"/>
        <v>507000</v>
      </c>
      <c r="J114" s="26">
        <f t="shared" si="47"/>
        <v>8500</v>
      </c>
      <c r="K114" s="29">
        <v>45768.0</v>
      </c>
      <c r="L114" s="29">
        <v>45829.0</v>
      </c>
      <c r="M114" s="13" t="str">
        <f t="shared" si="48"/>
        <v>Overdue</v>
      </c>
      <c r="N114" s="24"/>
      <c r="O114" s="24"/>
      <c r="P114" s="24"/>
      <c r="Q114" s="24"/>
      <c r="R114" s="24"/>
      <c r="S114" s="24"/>
      <c r="T114" s="24"/>
      <c r="U114" s="24"/>
    </row>
    <row r="115">
      <c r="A115" s="3" t="s">
        <v>323</v>
      </c>
      <c r="B115" s="33">
        <v>7.07279657E8</v>
      </c>
      <c r="C115" s="3" t="s">
        <v>324</v>
      </c>
      <c r="D115" s="33">
        <v>7.09643287E8</v>
      </c>
      <c r="E115" s="3" t="s">
        <v>151</v>
      </c>
      <c r="F115" s="33">
        <v>350000.0</v>
      </c>
      <c r="G115" s="33">
        <v>30.0</v>
      </c>
      <c r="H115" s="26">
        <f t="shared" si="1"/>
        <v>105000</v>
      </c>
      <c r="I115" s="26">
        <f t="shared" si="46"/>
        <v>455000</v>
      </c>
      <c r="J115" s="26">
        <f t="shared" si="47"/>
        <v>15200</v>
      </c>
      <c r="K115" s="30">
        <v>45801.0</v>
      </c>
      <c r="L115" s="29">
        <v>45831.0</v>
      </c>
      <c r="M115" s="13" t="str">
        <f t="shared" si="48"/>
        <v>Overdue</v>
      </c>
      <c r="N115" s="24"/>
      <c r="O115" s="24"/>
      <c r="P115" s="24"/>
      <c r="Q115" s="24"/>
      <c r="R115" s="24"/>
      <c r="S115" s="24"/>
      <c r="T115" s="24"/>
      <c r="U115" s="24"/>
    </row>
    <row r="116">
      <c r="A116" s="43" t="s">
        <v>325</v>
      </c>
      <c r="B116" s="43" t="s">
        <v>326</v>
      </c>
      <c r="C116" s="66" t="s">
        <v>327</v>
      </c>
      <c r="D116" s="57">
        <v>7.09916444E8</v>
      </c>
      <c r="E116" s="43" t="s">
        <v>328</v>
      </c>
      <c r="F116" s="22">
        <v>698500.0</v>
      </c>
      <c r="G116" s="57">
        <v>60.0</v>
      </c>
      <c r="H116" s="31">
        <f t="shared" si="1"/>
        <v>481965</v>
      </c>
      <c r="I116" s="31">
        <f t="shared" si="46"/>
        <v>1180465</v>
      </c>
      <c r="J116" s="31">
        <f t="shared" si="47"/>
        <v>19700</v>
      </c>
      <c r="K116" s="53">
        <v>45842.0</v>
      </c>
      <c r="L116" s="53">
        <v>45904.0</v>
      </c>
      <c r="M116" s="43" t="str">
        <f t="shared" si="48"/>
        <v>Overdue</v>
      </c>
      <c r="N116" s="24"/>
      <c r="O116" s="24"/>
      <c r="P116" s="24"/>
      <c r="Q116" s="24"/>
      <c r="R116" s="24"/>
      <c r="S116" s="24"/>
      <c r="T116" s="24"/>
      <c r="U116" s="24"/>
    </row>
    <row r="117">
      <c r="A117" s="13" t="s">
        <v>329</v>
      </c>
      <c r="B117" s="14">
        <v>7.03210366E8</v>
      </c>
      <c r="C117" s="13" t="s">
        <v>330</v>
      </c>
      <c r="D117" s="14">
        <v>7.89094298E8</v>
      </c>
      <c r="E117" s="13" t="s">
        <v>26</v>
      </c>
      <c r="F117" s="26">
        <v>200000.0</v>
      </c>
      <c r="G117" s="26">
        <v>30.0</v>
      </c>
      <c r="H117" s="26">
        <f t="shared" si="1"/>
        <v>60000</v>
      </c>
      <c r="I117" s="26">
        <f t="shared" si="46"/>
        <v>260000</v>
      </c>
      <c r="J117" s="26">
        <f t="shared" si="47"/>
        <v>8700</v>
      </c>
      <c r="K117" s="29">
        <v>45768.0</v>
      </c>
      <c r="L117" s="30">
        <v>45798.0</v>
      </c>
      <c r="M117" s="13" t="str">
        <f t="shared" si="48"/>
        <v>Overdue</v>
      </c>
      <c r="N117" s="24"/>
      <c r="O117" s="24"/>
      <c r="P117" s="24"/>
      <c r="Q117" s="24"/>
      <c r="R117" s="24"/>
      <c r="S117" s="24"/>
      <c r="T117" s="24"/>
      <c r="U117" s="24"/>
    </row>
    <row r="118">
      <c r="A118" s="13" t="s">
        <v>331</v>
      </c>
      <c r="B118" s="14">
        <v>7.04904602E8</v>
      </c>
      <c r="C118" s="13" t="s">
        <v>332</v>
      </c>
      <c r="D118" s="14">
        <v>7.04844057E8</v>
      </c>
      <c r="E118" s="13" t="s">
        <v>26</v>
      </c>
      <c r="F118" s="26">
        <v>200000.0</v>
      </c>
      <c r="G118" s="26">
        <v>30.0</v>
      </c>
      <c r="H118" s="26">
        <f t="shared" si="1"/>
        <v>60000</v>
      </c>
      <c r="I118" s="26">
        <f t="shared" si="46"/>
        <v>260000</v>
      </c>
      <c r="J118" s="26">
        <f t="shared" si="47"/>
        <v>8700</v>
      </c>
      <c r="K118" s="29">
        <v>45763.0</v>
      </c>
      <c r="L118" s="30">
        <v>45793.0</v>
      </c>
      <c r="M118" s="13" t="str">
        <f t="shared" si="48"/>
        <v>Overdue</v>
      </c>
      <c r="N118" s="24"/>
      <c r="O118" s="24"/>
      <c r="P118" s="24"/>
      <c r="Q118" s="24"/>
      <c r="R118" s="24"/>
      <c r="S118" s="24"/>
      <c r="T118" s="24"/>
      <c r="U118" s="24"/>
    </row>
    <row r="119">
      <c r="A119" s="13" t="s">
        <v>333</v>
      </c>
      <c r="B119" s="13" t="s">
        <v>334</v>
      </c>
      <c r="C119" s="13" t="s">
        <v>295</v>
      </c>
      <c r="D119" s="62">
        <v>2.23001E12</v>
      </c>
      <c r="E119" s="13" t="s">
        <v>5</v>
      </c>
      <c r="F119" s="26">
        <v>58400.0</v>
      </c>
      <c r="G119" s="26">
        <v>30.0</v>
      </c>
      <c r="H119" s="26">
        <f t="shared" si="1"/>
        <v>17520</v>
      </c>
      <c r="I119" s="26">
        <f t="shared" si="46"/>
        <v>75920</v>
      </c>
      <c r="J119" s="26">
        <f t="shared" si="47"/>
        <v>2500</v>
      </c>
      <c r="K119" s="29">
        <v>45727.0</v>
      </c>
      <c r="L119" s="29">
        <v>45758.0</v>
      </c>
      <c r="M119" s="13" t="str">
        <f t="shared" si="48"/>
        <v>Overdue</v>
      </c>
      <c r="N119" s="24"/>
      <c r="O119" s="24"/>
      <c r="P119" s="24"/>
      <c r="Q119" s="24"/>
      <c r="R119" s="24"/>
      <c r="S119" s="24"/>
      <c r="T119" s="24"/>
      <c r="U119" s="24"/>
    </row>
    <row r="120">
      <c r="A120" s="13" t="s">
        <v>335</v>
      </c>
      <c r="B120" s="13" t="s">
        <v>336</v>
      </c>
      <c r="C120" s="13" t="s">
        <v>337</v>
      </c>
      <c r="D120" s="14">
        <v>7.591132884E9</v>
      </c>
      <c r="E120" s="13" t="s">
        <v>20</v>
      </c>
      <c r="F120" s="26">
        <v>180000.0</v>
      </c>
      <c r="G120" s="26">
        <v>60.0</v>
      </c>
      <c r="H120" s="26">
        <f t="shared" si="1"/>
        <v>124200</v>
      </c>
      <c r="I120" s="26">
        <f t="shared" si="46"/>
        <v>304200</v>
      </c>
      <c r="J120" s="26">
        <f t="shared" si="47"/>
        <v>5100</v>
      </c>
      <c r="K120" s="29">
        <v>45738.0</v>
      </c>
      <c r="L120" s="30">
        <v>45799.0</v>
      </c>
      <c r="M120" s="13" t="str">
        <f t="shared" si="48"/>
        <v>Overdue</v>
      </c>
      <c r="N120" s="24"/>
      <c r="O120" s="24"/>
      <c r="P120" s="24"/>
      <c r="Q120" s="24"/>
      <c r="R120" s="24"/>
      <c r="S120" s="24"/>
      <c r="T120" s="24"/>
      <c r="U120" s="24"/>
    </row>
    <row r="121">
      <c r="A121" s="13" t="s">
        <v>338</v>
      </c>
      <c r="B121" s="14">
        <v>7.55190357E8</v>
      </c>
      <c r="C121" s="13" t="s">
        <v>339</v>
      </c>
      <c r="D121" s="14">
        <v>7.05082815E8</v>
      </c>
      <c r="E121" s="13" t="s">
        <v>23</v>
      </c>
      <c r="F121" s="25">
        <v>100000.0</v>
      </c>
      <c r="G121" s="26">
        <v>30.0</v>
      </c>
      <c r="H121" s="26">
        <f t="shared" si="1"/>
        <v>30000</v>
      </c>
      <c r="I121" s="26">
        <f t="shared" si="46"/>
        <v>130000</v>
      </c>
      <c r="J121" s="26">
        <f t="shared" si="47"/>
        <v>4300</v>
      </c>
      <c r="K121" s="29">
        <v>45702.0</v>
      </c>
      <c r="L121" s="29">
        <v>45731.0</v>
      </c>
      <c r="M121" s="13" t="str">
        <f t="shared" si="48"/>
        <v>Overdue</v>
      </c>
      <c r="N121" s="24"/>
      <c r="O121" s="24"/>
      <c r="P121" s="24"/>
      <c r="Q121" s="24"/>
      <c r="R121" s="24"/>
      <c r="S121" s="24"/>
      <c r="T121" s="24"/>
      <c r="U121" s="24"/>
    </row>
    <row r="122">
      <c r="A122" s="13" t="s">
        <v>340</v>
      </c>
      <c r="B122" s="14">
        <v>7.57913215E8</v>
      </c>
      <c r="C122" s="13" t="s">
        <v>341</v>
      </c>
      <c r="D122" s="14">
        <v>7.06434417E8</v>
      </c>
      <c r="E122" s="13" t="s">
        <v>57</v>
      </c>
      <c r="F122" s="26">
        <v>400000.0</v>
      </c>
      <c r="G122" s="26">
        <v>60.0</v>
      </c>
      <c r="H122" s="26">
        <f t="shared" si="1"/>
        <v>276000</v>
      </c>
      <c r="I122" s="26">
        <f t="shared" si="46"/>
        <v>676000</v>
      </c>
      <c r="J122" s="26">
        <f t="shared" si="47"/>
        <v>11300</v>
      </c>
      <c r="K122" s="29">
        <v>45741.0</v>
      </c>
      <c r="L122" s="30">
        <v>45802.0</v>
      </c>
      <c r="M122" s="13" t="str">
        <f t="shared" si="48"/>
        <v>Overdue</v>
      </c>
      <c r="N122" s="24"/>
      <c r="O122" s="24"/>
      <c r="P122" s="24"/>
      <c r="Q122" s="24"/>
      <c r="R122" s="24"/>
      <c r="S122" s="24"/>
      <c r="T122" s="24"/>
      <c r="U122" s="24"/>
    </row>
    <row r="123">
      <c r="A123" s="13" t="s">
        <v>342</v>
      </c>
      <c r="B123" s="14">
        <v>7.65195726E8</v>
      </c>
      <c r="C123" s="13" t="s">
        <v>343</v>
      </c>
      <c r="D123" s="14">
        <v>7.08586632E8</v>
      </c>
      <c r="E123" s="13" t="s">
        <v>57</v>
      </c>
      <c r="F123" s="26">
        <v>100000.0</v>
      </c>
      <c r="G123" s="26">
        <v>30.0</v>
      </c>
      <c r="H123" s="26">
        <f t="shared" si="1"/>
        <v>30000</v>
      </c>
      <c r="I123" s="26">
        <f t="shared" si="46"/>
        <v>130000</v>
      </c>
      <c r="J123" s="26">
        <f t="shared" si="47"/>
        <v>4300</v>
      </c>
      <c r="K123" s="29">
        <v>45752.0</v>
      </c>
      <c r="L123" s="29">
        <v>45753.0</v>
      </c>
      <c r="M123" s="13" t="str">
        <f t="shared" si="48"/>
        <v>Overdue</v>
      </c>
      <c r="N123" s="56"/>
      <c r="O123" s="56"/>
      <c r="P123" s="56"/>
      <c r="Q123" s="56"/>
      <c r="R123" s="56"/>
      <c r="S123" s="56"/>
      <c r="T123" s="56"/>
      <c r="U123" s="56"/>
    </row>
    <row r="124">
      <c r="A124" s="3" t="s">
        <v>344</v>
      </c>
      <c r="B124" s="33">
        <v>7.57227795E8</v>
      </c>
      <c r="C124" s="3" t="s">
        <v>344</v>
      </c>
      <c r="D124" s="33">
        <v>7.57227795E8</v>
      </c>
      <c r="E124" s="3" t="s">
        <v>23</v>
      </c>
      <c r="F124" s="33">
        <v>100000.0</v>
      </c>
      <c r="G124" s="47">
        <v>30.0</v>
      </c>
      <c r="H124" s="26">
        <f t="shared" si="1"/>
        <v>30000</v>
      </c>
      <c r="I124" s="26">
        <f t="shared" si="46"/>
        <v>130000</v>
      </c>
      <c r="J124" s="26">
        <f t="shared" si="47"/>
        <v>4300</v>
      </c>
      <c r="K124" s="30">
        <v>45798.0</v>
      </c>
      <c r="L124" s="29">
        <v>45829.0</v>
      </c>
      <c r="M124" s="13" t="str">
        <f t="shared" si="48"/>
        <v>Overdue</v>
      </c>
      <c r="N124" s="24"/>
      <c r="O124" s="24"/>
      <c r="P124" s="24"/>
      <c r="Q124" s="24"/>
      <c r="R124" s="24"/>
      <c r="S124" s="24"/>
      <c r="T124" s="24"/>
      <c r="U124" s="24"/>
    </row>
    <row r="125">
      <c r="A125" s="13" t="s">
        <v>345</v>
      </c>
      <c r="B125" s="14">
        <v>7.75181494E8</v>
      </c>
      <c r="C125" s="13" t="s">
        <v>346</v>
      </c>
      <c r="D125" s="14">
        <v>7.43903202E8</v>
      </c>
      <c r="E125" s="13" t="s">
        <v>20</v>
      </c>
      <c r="F125" s="26">
        <v>160000.0</v>
      </c>
      <c r="G125" s="26">
        <v>60.0</v>
      </c>
      <c r="H125" s="26">
        <f t="shared" si="1"/>
        <v>110400</v>
      </c>
      <c r="I125" s="26">
        <f t="shared" si="46"/>
        <v>270400</v>
      </c>
      <c r="J125" s="26">
        <f>I125/G125</f>
        <v>4506.666667</v>
      </c>
      <c r="K125" s="30">
        <v>45790.0</v>
      </c>
      <c r="L125" s="29">
        <v>45851.0</v>
      </c>
      <c r="M125" s="13" t="str">
        <f t="shared" si="48"/>
        <v>Overdue</v>
      </c>
      <c r="N125" s="24"/>
      <c r="O125" s="24"/>
      <c r="P125" s="24"/>
      <c r="Q125" s="24"/>
      <c r="R125" s="24"/>
      <c r="S125" s="24"/>
      <c r="T125" s="24"/>
      <c r="U125" s="24"/>
    </row>
    <row r="126">
      <c r="A126" s="13" t="s">
        <v>347</v>
      </c>
      <c r="B126" s="14">
        <v>7.46704587E8</v>
      </c>
      <c r="C126" s="13" t="s">
        <v>348</v>
      </c>
      <c r="D126" s="14">
        <v>7.80742141E8</v>
      </c>
      <c r="E126" s="13" t="s">
        <v>57</v>
      </c>
      <c r="F126" s="26">
        <v>100000.0</v>
      </c>
      <c r="G126" s="26">
        <v>30.0</v>
      </c>
      <c r="H126" s="26">
        <f t="shared" si="1"/>
        <v>30000</v>
      </c>
      <c r="I126" s="26">
        <f t="shared" si="46"/>
        <v>130000</v>
      </c>
      <c r="J126" s="26">
        <f t="shared" ref="J126:J130" si="49">Round(I126/G126,-2)</f>
        <v>4300</v>
      </c>
      <c r="K126" s="29">
        <v>45660.0</v>
      </c>
      <c r="L126" s="29">
        <v>45691.0</v>
      </c>
      <c r="M126" s="13" t="str">
        <f t="shared" si="48"/>
        <v>Overdue</v>
      </c>
      <c r="N126" s="24"/>
      <c r="O126" s="24"/>
      <c r="P126" s="24"/>
      <c r="Q126" s="24"/>
      <c r="R126" s="24"/>
      <c r="S126" s="24"/>
      <c r="T126" s="24"/>
      <c r="U126" s="24"/>
    </row>
    <row r="127">
      <c r="A127" s="13" t="s">
        <v>349</v>
      </c>
      <c r="B127" s="14">
        <v>7.50969853E8</v>
      </c>
      <c r="C127" s="13" t="s">
        <v>350</v>
      </c>
      <c r="D127" s="14">
        <v>7.55487087E8</v>
      </c>
      <c r="E127" s="13" t="s">
        <v>23</v>
      </c>
      <c r="F127" s="26">
        <v>100000.0</v>
      </c>
      <c r="G127" s="26">
        <v>30.0</v>
      </c>
      <c r="H127" s="26">
        <f t="shared" si="1"/>
        <v>30000</v>
      </c>
      <c r="I127" s="26">
        <f t="shared" si="46"/>
        <v>130000</v>
      </c>
      <c r="J127" s="26">
        <f t="shared" si="49"/>
        <v>4300</v>
      </c>
      <c r="K127" s="29">
        <v>45693.0</v>
      </c>
      <c r="L127" s="29">
        <v>45721.0</v>
      </c>
      <c r="M127" s="13" t="str">
        <f t="shared" si="48"/>
        <v>Overdue</v>
      </c>
      <c r="N127" s="24"/>
      <c r="O127" s="24"/>
      <c r="P127" s="24"/>
      <c r="Q127" s="24"/>
      <c r="R127" s="24"/>
      <c r="S127" s="24"/>
      <c r="T127" s="24"/>
      <c r="U127" s="24"/>
    </row>
    <row r="128">
      <c r="A128" s="13" t="s">
        <v>351</v>
      </c>
      <c r="B128" s="14">
        <v>7.04452862E8</v>
      </c>
      <c r="C128" s="13" t="s">
        <v>352</v>
      </c>
      <c r="D128" s="14">
        <v>7.64634647E8</v>
      </c>
      <c r="E128" s="13" t="s">
        <v>5</v>
      </c>
      <c r="F128" s="26">
        <v>100000.0</v>
      </c>
      <c r="G128" s="14">
        <v>30.0</v>
      </c>
      <c r="H128" s="26">
        <f t="shared" si="1"/>
        <v>30000</v>
      </c>
      <c r="I128" s="26">
        <f t="shared" si="46"/>
        <v>130000</v>
      </c>
      <c r="J128" s="26">
        <f t="shared" si="49"/>
        <v>4300</v>
      </c>
      <c r="K128" s="29">
        <v>45695.0</v>
      </c>
      <c r="L128" s="29">
        <v>45724.0</v>
      </c>
      <c r="M128" s="13" t="str">
        <f t="shared" si="48"/>
        <v>Overdue</v>
      </c>
      <c r="N128" s="24"/>
      <c r="O128" s="24"/>
      <c r="P128" s="24"/>
      <c r="Q128" s="24"/>
      <c r="R128" s="24"/>
      <c r="S128" s="24"/>
      <c r="T128" s="24"/>
      <c r="U128" s="24"/>
    </row>
    <row r="129">
      <c r="A129" s="13" t="s">
        <v>353</v>
      </c>
      <c r="B129" s="14">
        <v>7.01767681E8</v>
      </c>
      <c r="C129" s="13" t="s">
        <v>354</v>
      </c>
      <c r="D129" s="14">
        <v>7.01758706E8</v>
      </c>
      <c r="E129" s="13" t="s">
        <v>23</v>
      </c>
      <c r="F129" s="26">
        <v>100000.0</v>
      </c>
      <c r="G129" s="26">
        <v>30.0</v>
      </c>
      <c r="H129" s="26">
        <f t="shared" si="1"/>
        <v>30000</v>
      </c>
      <c r="I129" s="26">
        <f t="shared" si="46"/>
        <v>130000</v>
      </c>
      <c r="J129" s="26">
        <f t="shared" si="49"/>
        <v>4300</v>
      </c>
      <c r="K129" s="29">
        <v>45701.0</v>
      </c>
      <c r="L129" s="29">
        <v>45730.0</v>
      </c>
      <c r="M129" s="13" t="str">
        <f t="shared" si="48"/>
        <v>Overdue</v>
      </c>
      <c r="N129" s="56"/>
      <c r="O129" s="56"/>
      <c r="P129" s="56"/>
      <c r="Q129" s="56"/>
      <c r="R129" s="56"/>
      <c r="S129" s="56"/>
      <c r="T129" s="56"/>
      <c r="U129" s="56"/>
    </row>
    <row r="130">
      <c r="A130" s="13" t="s">
        <v>355</v>
      </c>
      <c r="B130" s="14">
        <v>7.55051393E8</v>
      </c>
      <c r="C130" s="13" t="s">
        <v>356</v>
      </c>
      <c r="D130" s="26">
        <v>7.78312791E8</v>
      </c>
      <c r="E130" s="13" t="s">
        <v>357</v>
      </c>
      <c r="F130" s="26">
        <v>120000.0</v>
      </c>
      <c r="G130" s="26">
        <v>30.0</v>
      </c>
      <c r="H130" s="26">
        <f t="shared" si="1"/>
        <v>36000</v>
      </c>
      <c r="I130" s="26">
        <f t="shared" si="46"/>
        <v>156000</v>
      </c>
      <c r="J130" s="26">
        <f t="shared" si="49"/>
        <v>5200</v>
      </c>
      <c r="K130" s="29">
        <v>45661.0</v>
      </c>
      <c r="L130" s="29">
        <v>45693.0</v>
      </c>
      <c r="M130" s="13" t="str">
        <f t="shared" si="48"/>
        <v>Overdue</v>
      </c>
      <c r="N130" s="24"/>
      <c r="O130" s="24"/>
      <c r="P130" s="24"/>
      <c r="Q130" s="24"/>
      <c r="R130" s="24"/>
      <c r="S130" s="24"/>
      <c r="T130" s="24"/>
      <c r="U130" s="24"/>
    </row>
    <row r="131">
      <c r="A131" s="50" t="s">
        <v>358</v>
      </c>
      <c r="B131" s="48" t="s">
        <v>359</v>
      </c>
      <c r="C131" s="3" t="s">
        <v>360</v>
      </c>
      <c r="D131" s="33">
        <v>7.0509572E8</v>
      </c>
      <c r="E131" s="3" t="s">
        <v>83</v>
      </c>
      <c r="F131" s="33">
        <v>390000.0</v>
      </c>
      <c r="G131" s="33">
        <v>90.0</v>
      </c>
      <c r="H131" s="26">
        <f t="shared" si="1"/>
        <v>466830</v>
      </c>
      <c r="I131" s="26">
        <f t="shared" si="46"/>
        <v>856830</v>
      </c>
      <c r="J131" s="26">
        <f t="shared" ref="J131:J133" si="50">I131/G131</f>
        <v>9520.333333</v>
      </c>
      <c r="K131" s="30">
        <v>45798.0</v>
      </c>
      <c r="L131" s="29">
        <v>45890.0</v>
      </c>
      <c r="M131" s="13" t="str">
        <f t="shared" si="48"/>
        <v>Overdue</v>
      </c>
      <c r="N131" s="24"/>
      <c r="O131" s="24"/>
      <c r="P131" s="24"/>
      <c r="Q131" s="24"/>
      <c r="R131" s="24"/>
      <c r="S131" s="24"/>
      <c r="T131" s="24"/>
      <c r="U131" s="24"/>
    </row>
    <row r="132">
      <c r="A132" s="41" t="s">
        <v>18</v>
      </c>
      <c r="B132" s="49">
        <v>7.43819713E8</v>
      </c>
      <c r="C132" s="41" t="s">
        <v>19</v>
      </c>
      <c r="D132" s="49">
        <v>7.82354628E8</v>
      </c>
      <c r="E132" s="41" t="s">
        <v>20</v>
      </c>
      <c r="F132" s="37">
        <v>100000.0</v>
      </c>
      <c r="G132" s="37">
        <v>30.0</v>
      </c>
      <c r="H132" s="37">
        <f t="shared" si="1"/>
        <v>30000</v>
      </c>
      <c r="I132" s="37">
        <f t="shared" si="46"/>
        <v>130000</v>
      </c>
      <c r="J132" s="37">
        <f t="shared" si="50"/>
        <v>4333.333333</v>
      </c>
      <c r="K132" s="40">
        <v>45762.0</v>
      </c>
      <c r="L132" s="39">
        <v>45792.0</v>
      </c>
      <c r="M132" s="41" t="s">
        <v>361</v>
      </c>
      <c r="N132" s="42"/>
      <c r="O132" s="42"/>
      <c r="P132" s="42"/>
      <c r="Q132" s="42"/>
      <c r="R132" s="42"/>
      <c r="S132" s="42"/>
      <c r="T132" s="42"/>
      <c r="U132" s="42"/>
    </row>
    <row r="133">
      <c r="A133" s="41" t="s">
        <v>33</v>
      </c>
      <c r="B133" s="49">
        <v>7.01234524E8</v>
      </c>
      <c r="C133" s="41" t="s">
        <v>34</v>
      </c>
      <c r="D133" s="49">
        <v>7.70527306E8</v>
      </c>
      <c r="E133" s="41" t="s">
        <v>26</v>
      </c>
      <c r="F133" s="37">
        <v>300000.0</v>
      </c>
      <c r="G133" s="37">
        <v>30.0</v>
      </c>
      <c r="H133" s="37">
        <f t="shared" si="1"/>
        <v>90000</v>
      </c>
      <c r="I133" s="37">
        <f t="shared" si="46"/>
        <v>390000</v>
      </c>
      <c r="J133" s="37">
        <f t="shared" si="50"/>
        <v>13000</v>
      </c>
      <c r="K133" s="40">
        <v>45763.0</v>
      </c>
      <c r="L133" s="39">
        <v>45793.0</v>
      </c>
      <c r="M133" s="41" t="s">
        <v>120</v>
      </c>
      <c r="N133" s="42"/>
      <c r="O133" s="42"/>
      <c r="P133" s="42"/>
      <c r="Q133" s="42"/>
      <c r="R133" s="42"/>
      <c r="S133" s="42"/>
      <c r="T133" s="42"/>
      <c r="U133" s="42"/>
    </row>
    <row r="134">
      <c r="A134" s="13" t="s">
        <v>362</v>
      </c>
      <c r="B134" s="14">
        <v>7.45080652E8</v>
      </c>
      <c r="C134" s="13" t="s">
        <v>363</v>
      </c>
      <c r="D134" s="14" t="s">
        <v>364</v>
      </c>
      <c r="E134" s="13" t="s">
        <v>365</v>
      </c>
      <c r="F134" s="26">
        <v>70000.0</v>
      </c>
      <c r="G134" s="26">
        <v>30.0</v>
      </c>
      <c r="H134" s="26">
        <f t="shared" si="1"/>
        <v>21000</v>
      </c>
      <c r="I134" s="26">
        <f t="shared" si="46"/>
        <v>91000</v>
      </c>
      <c r="J134" s="26">
        <f>Round(I134/G134,-2)</f>
        <v>3000</v>
      </c>
      <c r="K134" s="29">
        <v>45762.0</v>
      </c>
      <c r="L134" s="30">
        <v>45792.0</v>
      </c>
      <c r="M134" s="13" t="str">
        <f t="shared" ref="M134:M143" si="51">IF(TODAY()&gt;L134,"Overdue", IF(I134=0, "Cleared", "Active"))</f>
        <v>Overdue</v>
      </c>
      <c r="N134" s="24"/>
      <c r="O134" s="24"/>
      <c r="P134" s="24"/>
      <c r="Q134" s="24"/>
      <c r="R134" s="24"/>
      <c r="S134" s="24"/>
      <c r="T134" s="24"/>
      <c r="U134" s="24"/>
    </row>
    <row r="135">
      <c r="A135" s="35" t="s">
        <v>72</v>
      </c>
      <c r="B135" s="36">
        <v>7.02785238E8</v>
      </c>
      <c r="C135" s="35" t="s">
        <v>73</v>
      </c>
      <c r="D135" s="36">
        <v>7.06529191E8</v>
      </c>
      <c r="E135" s="35" t="s">
        <v>71</v>
      </c>
      <c r="F135" s="67">
        <v>600000.0</v>
      </c>
      <c r="G135" s="67">
        <v>30.0</v>
      </c>
      <c r="H135" s="37">
        <f t="shared" si="1"/>
        <v>180000</v>
      </c>
      <c r="I135" s="37">
        <f t="shared" si="46"/>
        <v>780000</v>
      </c>
      <c r="J135" s="37">
        <f>I135/G135</f>
        <v>26000</v>
      </c>
      <c r="K135" s="40">
        <v>45813.0</v>
      </c>
      <c r="L135" s="39">
        <v>45843.0</v>
      </c>
      <c r="M135" s="41" t="str">
        <f t="shared" si="51"/>
        <v>Overdue</v>
      </c>
      <c r="N135" s="42"/>
      <c r="O135" s="42"/>
      <c r="P135" s="42"/>
      <c r="Q135" s="42"/>
      <c r="R135" s="42"/>
      <c r="S135" s="42"/>
      <c r="T135" s="42"/>
      <c r="U135" s="42"/>
    </row>
    <row r="136">
      <c r="A136" s="13" t="s">
        <v>366</v>
      </c>
      <c r="B136" s="14">
        <v>7.82572721E8</v>
      </c>
      <c r="C136" s="13" t="s">
        <v>367</v>
      </c>
      <c r="D136" s="14">
        <v>7.4798965E8</v>
      </c>
      <c r="E136" s="13" t="s">
        <v>26</v>
      </c>
      <c r="F136" s="26">
        <v>400000.0</v>
      </c>
      <c r="G136" s="26">
        <v>60.0</v>
      </c>
      <c r="H136" s="26">
        <f t="shared" si="1"/>
        <v>276000</v>
      </c>
      <c r="I136" s="26">
        <f t="shared" si="46"/>
        <v>676000</v>
      </c>
      <c r="J136" s="26">
        <f>Round(I136/G136,-2)</f>
        <v>11300</v>
      </c>
      <c r="K136" s="29">
        <v>45762.0</v>
      </c>
      <c r="L136" s="29">
        <v>45823.0</v>
      </c>
      <c r="M136" s="13" t="str">
        <f t="shared" si="51"/>
        <v>Overdue</v>
      </c>
      <c r="N136" s="24"/>
      <c r="O136" s="24"/>
      <c r="P136" s="24"/>
      <c r="Q136" s="24"/>
      <c r="R136" s="24"/>
      <c r="S136" s="24"/>
      <c r="T136" s="24"/>
      <c r="U136" s="24"/>
    </row>
    <row r="137">
      <c r="A137" s="3" t="s">
        <v>368</v>
      </c>
      <c r="B137" s="33">
        <v>7.48320604E8</v>
      </c>
      <c r="C137" s="3" t="s">
        <v>369</v>
      </c>
      <c r="D137" s="33">
        <v>7.58389596E8</v>
      </c>
      <c r="E137" s="3" t="s">
        <v>57</v>
      </c>
      <c r="F137" s="47">
        <v>200000.0</v>
      </c>
      <c r="G137" s="47">
        <v>60.0</v>
      </c>
      <c r="H137" s="26">
        <f t="shared" si="1"/>
        <v>138000</v>
      </c>
      <c r="I137" s="26">
        <f t="shared" si="46"/>
        <v>338000</v>
      </c>
      <c r="J137" s="26">
        <f>I137/G137</f>
        <v>5633.333333</v>
      </c>
      <c r="K137" s="29">
        <v>45819.0</v>
      </c>
      <c r="L137" s="30">
        <v>45849.0</v>
      </c>
      <c r="M137" s="13" t="str">
        <f t="shared" si="51"/>
        <v>Overdue</v>
      </c>
      <c r="N137" s="24"/>
      <c r="O137" s="24"/>
      <c r="P137" s="24"/>
      <c r="Q137" s="24"/>
      <c r="R137" s="24"/>
      <c r="S137" s="24"/>
      <c r="T137" s="24"/>
      <c r="U137" s="24"/>
    </row>
    <row r="138">
      <c r="A138" s="41" t="s">
        <v>55</v>
      </c>
      <c r="B138" s="49">
        <v>7.09819237E8</v>
      </c>
      <c r="C138" s="41" t="s">
        <v>56</v>
      </c>
      <c r="D138" s="49">
        <v>7.08215368E8</v>
      </c>
      <c r="E138" s="41" t="s">
        <v>57</v>
      </c>
      <c r="F138" s="37">
        <v>150000.0</v>
      </c>
      <c r="G138" s="37">
        <v>30.0</v>
      </c>
      <c r="H138" s="37">
        <f t="shared" si="1"/>
        <v>45000</v>
      </c>
      <c r="I138" s="37">
        <f t="shared" si="46"/>
        <v>195000</v>
      </c>
      <c r="J138" s="37">
        <f t="shared" ref="J138:J139" si="52">Round(I138/G138,-2)</f>
        <v>6500</v>
      </c>
      <c r="K138" s="40">
        <v>45728.0</v>
      </c>
      <c r="L138" s="40">
        <v>45759.0</v>
      </c>
      <c r="M138" s="41" t="str">
        <f t="shared" si="51"/>
        <v>Overdue</v>
      </c>
      <c r="N138" s="42"/>
      <c r="O138" s="42"/>
      <c r="P138" s="42"/>
      <c r="Q138" s="42"/>
      <c r="R138" s="42"/>
      <c r="S138" s="42"/>
      <c r="T138" s="42"/>
      <c r="U138" s="42"/>
    </row>
    <row r="139">
      <c r="A139" s="13" t="s">
        <v>370</v>
      </c>
      <c r="B139" s="14">
        <v>7.59614608E8</v>
      </c>
      <c r="C139" s="13" t="s">
        <v>371</v>
      </c>
      <c r="D139" s="14">
        <v>7.03769475E8</v>
      </c>
      <c r="E139" s="13" t="s">
        <v>26</v>
      </c>
      <c r="F139" s="26">
        <v>400000.0</v>
      </c>
      <c r="G139" s="26">
        <v>30.0</v>
      </c>
      <c r="H139" s="26">
        <f t="shared" si="1"/>
        <v>120000</v>
      </c>
      <c r="I139" s="26">
        <f t="shared" si="46"/>
        <v>520000</v>
      </c>
      <c r="J139" s="26">
        <f t="shared" si="52"/>
        <v>17300</v>
      </c>
      <c r="K139" s="29">
        <v>45762.0</v>
      </c>
      <c r="L139" s="30">
        <v>45792.0</v>
      </c>
      <c r="M139" s="13" t="str">
        <f t="shared" si="51"/>
        <v>Overdue</v>
      </c>
      <c r="N139" s="24"/>
      <c r="O139" s="24"/>
      <c r="P139" s="24"/>
      <c r="Q139" s="24"/>
      <c r="R139" s="24"/>
      <c r="S139" s="24"/>
      <c r="T139" s="24"/>
      <c r="U139" s="24"/>
    </row>
    <row r="140">
      <c r="A140" s="13" t="s">
        <v>372</v>
      </c>
      <c r="B140" s="14">
        <v>7.9027346E8</v>
      </c>
      <c r="C140" s="13" t="s">
        <v>247</v>
      </c>
      <c r="D140" s="14">
        <v>7.45618863E8</v>
      </c>
      <c r="E140" s="3"/>
      <c r="F140" s="25">
        <v>600000.0</v>
      </c>
      <c r="G140" s="14">
        <v>60.0</v>
      </c>
      <c r="H140" s="26">
        <f t="shared" si="1"/>
        <v>414000</v>
      </c>
      <c r="I140" s="31">
        <f>F140*(1+0.3)^(G140/30)+20000</f>
        <v>1034000</v>
      </c>
      <c r="J140" s="26">
        <f t="shared" ref="J140:J142" si="53">I140/G140</f>
        <v>17233.33333</v>
      </c>
      <c r="K140" s="32">
        <v>45897.0</v>
      </c>
      <c r="L140" s="27">
        <v>45958.0</v>
      </c>
      <c r="M140" s="13" t="str">
        <f t="shared" si="51"/>
        <v>Active</v>
      </c>
      <c r="N140" s="24"/>
      <c r="O140" s="24"/>
      <c r="P140" s="24"/>
      <c r="Q140" s="24"/>
      <c r="R140" s="24"/>
      <c r="S140" s="24"/>
      <c r="T140" s="24"/>
      <c r="U140" s="24"/>
    </row>
    <row r="141">
      <c r="A141" s="3" t="s">
        <v>373</v>
      </c>
      <c r="B141" s="33">
        <v>7.03073714E8</v>
      </c>
      <c r="C141" s="3" t="s">
        <v>374</v>
      </c>
      <c r="D141" s="33">
        <v>7.58840302E8</v>
      </c>
      <c r="E141" s="3" t="s">
        <v>26</v>
      </c>
      <c r="F141" s="47">
        <v>300000.0</v>
      </c>
      <c r="G141" s="34">
        <v>30.0</v>
      </c>
      <c r="H141" s="26">
        <f t="shared" si="1"/>
        <v>90000</v>
      </c>
      <c r="I141" s="26">
        <f t="shared" ref="I141:I178" si="54">F141*(1+0.3)^(G141/30)</f>
        <v>390000</v>
      </c>
      <c r="J141" s="26">
        <f t="shared" si="53"/>
        <v>13000</v>
      </c>
      <c r="K141" s="29">
        <v>45827.0</v>
      </c>
      <c r="L141" s="30">
        <v>45888.0</v>
      </c>
      <c r="M141" s="13" t="str">
        <f t="shared" si="51"/>
        <v>Overdue</v>
      </c>
      <c r="N141" s="24"/>
      <c r="O141" s="24"/>
      <c r="P141" s="24"/>
      <c r="Q141" s="24"/>
      <c r="R141" s="24"/>
      <c r="S141" s="24"/>
      <c r="T141" s="24"/>
      <c r="U141" s="24"/>
    </row>
    <row r="142">
      <c r="A142" s="3" t="s">
        <v>375</v>
      </c>
      <c r="B142" s="47">
        <v>7.58194649E8</v>
      </c>
      <c r="C142" s="3" t="s">
        <v>376</v>
      </c>
      <c r="D142" s="33">
        <v>7.8724051E8</v>
      </c>
      <c r="E142" s="3" t="s">
        <v>8</v>
      </c>
      <c r="F142" s="47">
        <v>200000.0</v>
      </c>
      <c r="G142" s="33">
        <v>60.0</v>
      </c>
      <c r="H142" s="26">
        <f t="shared" si="1"/>
        <v>138000</v>
      </c>
      <c r="I142" s="26">
        <f t="shared" si="54"/>
        <v>338000</v>
      </c>
      <c r="J142" s="26">
        <f t="shared" si="53"/>
        <v>5633.333333</v>
      </c>
      <c r="K142" s="29">
        <v>45825.0</v>
      </c>
      <c r="L142" s="30">
        <v>45886.0</v>
      </c>
      <c r="M142" s="13" t="str">
        <f t="shared" si="51"/>
        <v>Overdue</v>
      </c>
      <c r="N142" s="24"/>
      <c r="O142" s="24"/>
      <c r="P142" s="24"/>
      <c r="Q142" s="24"/>
      <c r="R142" s="24"/>
      <c r="S142" s="24"/>
      <c r="T142" s="24"/>
      <c r="U142" s="24"/>
    </row>
    <row r="143">
      <c r="A143" s="13" t="s">
        <v>377</v>
      </c>
      <c r="B143" s="14">
        <v>7.51250037E8</v>
      </c>
      <c r="C143" s="13" t="s">
        <v>378</v>
      </c>
      <c r="D143" s="14">
        <v>7.58511912E8</v>
      </c>
      <c r="E143" s="13" t="s">
        <v>60</v>
      </c>
      <c r="F143" s="26">
        <v>160000.0</v>
      </c>
      <c r="G143" s="26">
        <v>30.0</v>
      </c>
      <c r="H143" s="26">
        <f t="shared" si="1"/>
        <v>48000</v>
      </c>
      <c r="I143" s="26">
        <f t="shared" si="54"/>
        <v>208000</v>
      </c>
      <c r="J143" s="26">
        <f>Round(I143/G143,-2)</f>
        <v>6900</v>
      </c>
      <c r="K143" s="29">
        <v>45716.0</v>
      </c>
      <c r="L143" s="29">
        <v>45744.0</v>
      </c>
      <c r="M143" s="13" t="str">
        <f t="shared" si="51"/>
        <v>Overdue</v>
      </c>
      <c r="N143" s="24"/>
      <c r="O143" s="24"/>
      <c r="P143" s="24"/>
      <c r="Q143" s="24"/>
      <c r="R143" s="24"/>
      <c r="S143" s="24"/>
      <c r="T143" s="24"/>
      <c r="U143" s="24"/>
    </row>
    <row r="144">
      <c r="A144" s="41" t="s">
        <v>52</v>
      </c>
      <c r="B144" s="49">
        <v>7.44103043E8</v>
      </c>
      <c r="C144" s="41" t="s">
        <v>53</v>
      </c>
      <c r="D144" s="49">
        <v>7.00196471E8</v>
      </c>
      <c r="E144" s="41" t="s">
        <v>54</v>
      </c>
      <c r="F144" s="37">
        <v>80000.0</v>
      </c>
      <c r="G144" s="37">
        <v>30.0</v>
      </c>
      <c r="H144" s="37">
        <f t="shared" si="1"/>
        <v>24000</v>
      </c>
      <c r="I144" s="37">
        <f t="shared" si="54"/>
        <v>104000</v>
      </c>
      <c r="J144" s="37">
        <f>I144/G144</f>
        <v>3466.666667</v>
      </c>
      <c r="K144" s="40">
        <v>45773.0</v>
      </c>
      <c r="L144" s="39">
        <v>45803.0</v>
      </c>
      <c r="M144" s="41" t="s">
        <v>120</v>
      </c>
      <c r="N144" s="42"/>
      <c r="O144" s="42"/>
      <c r="P144" s="42"/>
      <c r="Q144" s="42"/>
      <c r="R144" s="42"/>
      <c r="S144" s="42"/>
      <c r="T144" s="42"/>
      <c r="U144" s="42"/>
    </row>
    <row r="145">
      <c r="A145" s="13" t="s">
        <v>379</v>
      </c>
      <c r="B145" s="14">
        <v>7.5463552E8</v>
      </c>
      <c r="C145" s="13" t="s">
        <v>380</v>
      </c>
      <c r="D145" s="14" t="s">
        <v>381</v>
      </c>
      <c r="E145" s="13" t="s">
        <v>26</v>
      </c>
      <c r="F145" s="25">
        <v>200000.0</v>
      </c>
      <c r="G145" s="25">
        <v>60.0</v>
      </c>
      <c r="H145" s="26">
        <f t="shared" si="1"/>
        <v>138000</v>
      </c>
      <c r="I145" s="26">
        <f t="shared" si="54"/>
        <v>338000</v>
      </c>
      <c r="J145" s="26">
        <f t="shared" ref="J145:J146" si="55">Round(I145/G145,-2)</f>
        <v>5600</v>
      </c>
      <c r="K145" s="29">
        <v>45771.0</v>
      </c>
      <c r="L145" s="29">
        <v>45832.0</v>
      </c>
      <c r="M145" s="13" t="str">
        <f t="shared" ref="M145:M149" si="56">IF(TODAY()&gt;L145,"Overdue", IF(I145=0, "Cleared", "Active"))</f>
        <v>Overdue</v>
      </c>
      <c r="N145" s="24"/>
      <c r="O145" s="24"/>
      <c r="P145" s="24"/>
      <c r="Q145" s="24"/>
      <c r="R145" s="24"/>
      <c r="S145" s="24"/>
      <c r="T145" s="24"/>
      <c r="U145" s="24"/>
    </row>
    <row r="146">
      <c r="A146" s="13" t="s">
        <v>382</v>
      </c>
      <c r="B146" s="14">
        <v>7.78435098E8</v>
      </c>
      <c r="C146" s="13" t="s">
        <v>105</v>
      </c>
      <c r="D146" s="14">
        <v>7.5318276E8</v>
      </c>
      <c r="E146" s="13" t="s">
        <v>5</v>
      </c>
      <c r="F146" s="26">
        <v>200000.0</v>
      </c>
      <c r="G146" s="26">
        <v>30.0</v>
      </c>
      <c r="H146" s="26">
        <f t="shared" si="1"/>
        <v>60000</v>
      </c>
      <c r="I146" s="26">
        <f t="shared" si="54"/>
        <v>260000</v>
      </c>
      <c r="J146" s="26">
        <f t="shared" si="55"/>
        <v>8700</v>
      </c>
      <c r="K146" s="29">
        <v>45695.0</v>
      </c>
      <c r="L146" s="30">
        <v>45785.0</v>
      </c>
      <c r="M146" s="13" t="str">
        <f t="shared" si="56"/>
        <v>Overdue</v>
      </c>
      <c r="N146" s="24"/>
      <c r="O146" s="24"/>
      <c r="P146" s="24"/>
      <c r="Q146" s="24"/>
      <c r="R146" s="24"/>
      <c r="S146" s="24"/>
      <c r="T146" s="24"/>
      <c r="U146" s="24"/>
    </row>
    <row r="147">
      <c r="A147" s="3" t="s">
        <v>383</v>
      </c>
      <c r="B147" s="33">
        <v>7.52952136E8</v>
      </c>
      <c r="C147" s="3" t="s">
        <v>384</v>
      </c>
      <c r="D147" s="47">
        <v>7.41172708E8</v>
      </c>
      <c r="E147" s="3" t="s">
        <v>385</v>
      </c>
      <c r="F147" s="47">
        <v>400000.0</v>
      </c>
      <c r="G147" s="47">
        <v>30.0</v>
      </c>
      <c r="H147" s="26">
        <f t="shared" si="1"/>
        <v>120000</v>
      </c>
      <c r="I147" s="26">
        <f t="shared" si="54"/>
        <v>520000</v>
      </c>
      <c r="J147" s="26">
        <f>I147/G147</f>
        <v>17333.33333</v>
      </c>
      <c r="K147" s="29">
        <v>45827.0</v>
      </c>
      <c r="L147" s="30">
        <v>45888.0</v>
      </c>
      <c r="M147" s="13" t="str">
        <f t="shared" si="56"/>
        <v>Overdue</v>
      </c>
      <c r="N147" s="24"/>
      <c r="O147" s="24"/>
      <c r="P147" s="24"/>
      <c r="Q147" s="24"/>
      <c r="R147" s="24"/>
      <c r="S147" s="24"/>
      <c r="T147" s="24"/>
      <c r="U147" s="24"/>
    </row>
    <row r="148">
      <c r="A148" s="13" t="s">
        <v>386</v>
      </c>
      <c r="B148" s="14">
        <v>7.56160097E8</v>
      </c>
      <c r="C148" s="13" t="s">
        <v>70</v>
      </c>
      <c r="D148" s="14">
        <v>7.04326514E8</v>
      </c>
      <c r="E148" s="13" t="s">
        <v>45</v>
      </c>
      <c r="F148" s="26">
        <v>150000.0</v>
      </c>
      <c r="G148" s="26">
        <v>30.0</v>
      </c>
      <c r="H148" s="26">
        <f t="shared" si="1"/>
        <v>45000</v>
      </c>
      <c r="I148" s="26">
        <f t="shared" si="54"/>
        <v>195000</v>
      </c>
      <c r="J148" s="26">
        <f t="shared" ref="J148:J149" si="57">Round(I148/G148,-2)</f>
        <v>6500</v>
      </c>
      <c r="K148" s="29">
        <v>45763.0</v>
      </c>
      <c r="L148" s="30">
        <v>45793.0</v>
      </c>
      <c r="M148" s="13" t="str">
        <f t="shared" si="56"/>
        <v>Overdue</v>
      </c>
      <c r="N148" s="24"/>
      <c r="O148" s="24"/>
      <c r="P148" s="24"/>
      <c r="Q148" s="24"/>
      <c r="R148" s="24"/>
      <c r="S148" s="24"/>
      <c r="T148" s="24"/>
      <c r="U148" s="24"/>
    </row>
    <row r="149">
      <c r="A149" s="13" t="s">
        <v>387</v>
      </c>
      <c r="B149" s="14">
        <v>7.55382271E8</v>
      </c>
      <c r="C149" s="13" t="s">
        <v>388</v>
      </c>
      <c r="D149" s="14">
        <v>7.75889828E8</v>
      </c>
      <c r="E149" s="13" t="s">
        <v>143</v>
      </c>
      <c r="F149" s="26">
        <v>300000.0</v>
      </c>
      <c r="G149" s="14">
        <v>60.0</v>
      </c>
      <c r="H149" s="26">
        <f t="shared" si="1"/>
        <v>207000</v>
      </c>
      <c r="I149" s="26">
        <f t="shared" si="54"/>
        <v>507000</v>
      </c>
      <c r="J149" s="26">
        <f t="shared" si="57"/>
        <v>8500</v>
      </c>
      <c r="K149" s="29">
        <v>45768.0</v>
      </c>
      <c r="L149" s="30">
        <v>45798.0</v>
      </c>
      <c r="M149" s="13" t="str">
        <f t="shared" si="56"/>
        <v>Overdue</v>
      </c>
      <c r="N149" s="24"/>
      <c r="O149" s="24"/>
      <c r="P149" s="24"/>
      <c r="Q149" s="24"/>
      <c r="R149" s="24"/>
      <c r="S149" s="24"/>
      <c r="T149" s="24"/>
      <c r="U149" s="24"/>
    </row>
    <row r="150">
      <c r="A150" s="41" t="s">
        <v>24</v>
      </c>
      <c r="B150" s="49">
        <v>7.52227363E8</v>
      </c>
      <c r="C150" s="41" t="s">
        <v>25</v>
      </c>
      <c r="D150" s="49">
        <v>7.72486073E8</v>
      </c>
      <c r="E150" s="41" t="s">
        <v>26</v>
      </c>
      <c r="F150" s="37">
        <v>200000.0</v>
      </c>
      <c r="G150" s="37">
        <v>30.0</v>
      </c>
      <c r="H150" s="37">
        <f t="shared" si="1"/>
        <v>60000</v>
      </c>
      <c r="I150" s="37">
        <f t="shared" si="54"/>
        <v>260000</v>
      </c>
      <c r="J150" s="37">
        <f>I150/G150</f>
        <v>8666.666667</v>
      </c>
      <c r="K150" s="40">
        <v>46127.0</v>
      </c>
      <c r="L150" s="39">
        <v>45792.0</v>
      </c>
      <c r="M150" s="41" t="s">
        <v>120</v>
      </c>
      <c r="N150" s="42"/>
      <c r="O150" s="42"/>
      <c r="P150" s="42"/>
      <c r="Q150" s="42"/>
      <c r="R150" s="42"/>
      <c r="S150" s="42"/>
      <c r="T150" s="42"/>
      <c r="U150" s="42"/>
    </row>
    <row r="151">
      <c r="A151" s="13" t="s">
        <v>389</v>
      </c>
      <c r="B151" s="14">
        <v>7.84543261E8</v>
      </c>
      <c r="C151" s="13" t="s">
        <v>390</v>
      </c>
      <c r="D151" s="14">
        <v>7.82072198E8</v>
      </c>
      <c r="E151" s="13" t="s">
        <v>391</v>
      </c>
      <c r="F151" s="25">
        <v>1500000.0</v>
      </c>
      <c r="G151" s="28">
        <v>60.0</v>
      </c>
      <c r="H151" s="26">
        <f t="shared" si="1"/>
        <v>1035000</v>
      </c>
      <c r="I151" s="26">
        <f t="shared" si="54"/>
        <v>2535000</v>
      </c>
      <c r="J151" s="26">
        <f t="shared" ref="J151:J152" si="58">Round(I151/G151,-2)</f>
        <v>42300</v>
      </c>
      <c r="K151" s="29">
        <v>45721.0</v>
      </c>
      <c r="L151" s="29">
        <v>45752.0</v>
      </c>
      <c r="M151" s="13" t="str">
        <f t="shared" ref="M151:M181" si="59">IF(TODAY()&gt;L151,"Overdue", IF(I151=0, "Cleared", "Active"))</f>
        <v>Overdue</v>
      </c>
      <c r="N151" s="24"/>
      <c r="O151" s="24"/>
      <c r="P151" s="24"/>
      <c r="Q151" s="24"/>
      <c r="R151" s="24"/>
      <c r="S151" s="24"/>
      <c r="T151" s="24"/>
      <c r="U151" s="24"/>
    </row>
    <row r="152">
      <c r="A152" s="13" t="s">
        <v>392</v>
      </c>
      <c r="B152" s="14" t="s">
        <v>393</v>
      </c>
      <c r="C152" s="13" t="s">
        <v>394</v>
      </c>
      <c r="D152" s="14">
        <v>7.61465249E8</v>
      </c>
      <c r="E152" s="13" t="s">
        <v>57</v>
      </c>
      <c r="F152" s="26">
        <v>100000.0</v>
      </c>
      <c r="G152" s="26">
        <v>30.0</v>
      </c>
      <c r="H152" s="26">
        <f t="shared" si="1"/>
        <v>30000</v>
      </c>
      <c r="I152" s="26">
        <f t="shared" si="54"/>
        <v>130000</v>
      </c>
      <c r="J152" s="26">
        <f t="shared" si="58"/>
        <v>4300</v>
      </c>
      <c r="K152" s="29">
        <v>45660.0</v>
      </c>
      <c r="L152" s="29">
        <v>45691.0</v>
      </c>
      <c r="M152" s="13" t="str">
        <f t="shared" si="59"/>
        <v>Overdue</v>
      </c>
      <c r="N152" s="24"/>
      <c r="O152" s="24"/>
      <c r="P152" s="24"/>
      <c r="Q152" s="24"/>
      <c r="R152" s="24"/>
      <c r="S152" s="24"/>
      <c r="T152" s="24"/>
      <c r="U152" s="24"/>
    </row>
    <row r="153">
      <c r="A153" s="3" t="s">
        <v>395</v>
      </c>
      <c r="B153" s="33">
        <v>7.44231431E8</v>
      </c>
      <c r="C153" s="3" t="s">
        <v>396</v>
      </c>
      <c r="D153" s="33">
        <v>7.05335954E8</v>
      </c>
      <c r="E153" s="3" t="s">
        <v>114</v>
      </c>
      <c r="F153" s="47">
        <v>300000.0</v>
      </c>
      <c r="G153" s="47">
        <v>60.0</v>
      </c>
      <c r="H153" s="26">
        <f t="shared" si="1"/>
        <v>207000</v>
      </c>
      <c r="I153" s="26">
        <f t="shared" si="54"/>
        <v>507000</v>
      </c>
      <c r="J153" s="26">
        <f t="shared" ref="J153:J154" si="60">I153/G153</f>
        <v>8450</v>
      </c>
      <c r="K153" s="29">
        <v>45825.0</v>
      </c>
      <c r="L153" s="30">
        <v>45886.0</v>
      </c>
      <c r="M153" s="13" t="str">
        <f t="shared" si="59"/>
        <v>Overdue</v>
      </c>
      <c r="N153" s="24"/>
      <c r="O153" s="24"/>
      <c r="P153" s="24"/>
      <c r="Q153" s="24"/>
      <c r="R153" s="24"/>
      <c r="S153" s="24"/>
      <c r="T153" s="24"/>
      <c r="U153" s="24"/>
    </row>
    <row r="154">
      <c r="A154" s="43" t="s">
        <v>397</v>
      </c>
      <c r="B154" s="44">
        <v>7.06020524E8</v>
      </c>
      <c r="C154" s="43" t="s">
        <v>398</v>
      </c>
      <c r="D154" s="44" t="s">
        <v>399</v>
      </c>
      <c r="E154" s="43" t="s">
        <v>45</v>
      </c>
      <c r="F154" s="22">
        <v>246000.0</v>
      </c>
      <c r="G154" s="22">
        <v>30.0</v>
      </c>
      <c r="H154" s="31">
        <f t="shared" si="1"/>
        <v>73800</v>
      </c>
      <c r="I154" s="31">
        <f t="shared" si="54"/>
        <v>319800</v>
      </c>
      <c r="J154" s="31">
        <f t="shared" si="60"/>
        <v>10660</v>
      </c>
      <c r="K154" s="53">
        <v>45846.0</v>
      </c>
      <c r="L154" s="52">
        <v>45877.0</v>
      </c>
      <c r="M154" s="43" t="str">
        <f t="shared" si="59"/>
        <v>Overdue</v>
      </c>
      <c r="N154" s="24"/>
      <c r="O154" s="24"/>
      <c r="P154" s="24"/>
      <c r="Q154" s="24"/>
      <c r="R154" s="24"/>
      <c r="S154" s="24"/>
      <c r="T154" s="24"/>
      <c r="U154" s="24"/>
    </row>
    <row r="155">
      <c r="A155" s="41" t="s">
        <v>81</v>
      </c>
      <c r="B155" s="49">
        <v>7.08206856E8</v>
      </c>
      <c r="C155" s="41" t="s">
        <v>82</v>
      </c>
      <c r="D155" s="49">
        <v>7.00305227E8</v>
      </c>
      <c r="E155" s="41" t="s">
        <v>83</v>
      </c>
      <c r="F155" s="37">
        <v>90000.0</v>
      </c>
      <c r="G155" s="49">
        <v>30.0</v>
      </c>
      <c r="H155" s="37">
        <f t="shared" si="1"/>
        <v>27000</v>
      </c>
      <c r="I155" s="37">
        <f t="shared" si="54"/>
        <v>117000</v>
      </c>
      <c r="J155" s="37">
        <f t="shared" ref="J155:J163" si="61">Round(I155/G155,-2)</f>
        <v>3900</v>
      </c>
      <c r="K155" s="40">
        <v>45773.0</v>
      </c>
      <c r="L155" s="39">
        <v>45803.0</v>
      </c>
      <c r="M155" s="41" t="str">
        <f t="shared" si="59"/>
        <v>Overdue</v>
      </c>
      <c r="N155" s="42"/>
      <c r="O155" s="42"/>
      <c r="P155" s="42"/>
      <c r="Q155" s="42"/>
      <c r="R155" s="42"/>
      <c r="S155" s="42"/>
      <c r="T155" s="42"/>
      <c r="U155" s="42"/>
    </row>
    <row r="156">
      <c r="A156" s="13" t="s">
        <v>400</v>
      </c>
      <c r="B156" s="14">
        <v>7.00806134E8</v>
      </c>
      <c r="C156" s="13" t="s">
        <v>401</v>
      </c>
      <c r="D156" s="14">
        <v>7.47463903E8</v>
      </c>
      <c r="E156" s="13" t="s">
        <v>26</v>
      </c>
      <c r="F156" s="26">
        <v>400000.0</v>
      </c>
      <c r="G156" s="26">
        <v>60.0</v>
      </c>
      <c r="H156" s="26">
        <f t="shared" si="1"/>
        <v>276000</v>
      </c>
      <c r="I156" s="26">
        <f t="shared" si="54"/>
        <v>676000</v>
      </c>
      <c r="J156" s="26">
        <f t="shared" si="61"/>
        <v>11300</v>
      </c>
      <c r="K156" s="29">
        <v>45770.0</v>
      </c>
      <c r="L156" s="29">
        <v>45831.0</v>
      </c>
      <c r="M156" s="13" t="str">
        <f t="shared" si="59"/>
        <v>Overdue</v>
      </c>
      <c r="N156" s="24"/>
      <c r="O156" s="24"/>
      <c r="P156" s="24"/>
      <c r="Q156" s="24"/>
      <c r="R156" s="24"/>
      <c r="S156" s="24"/>
      <c r="T156" s="24"/>
      <c r="U156" s="24"/>
    </row>
    <row r="157">
      <c r="A157" s="13" t="s">
        <v>402</v>
      </c>
      <c r="B157" s="33">
        <v>7.46692404E8</v>
      </c>
      <c r="C157" s="13" t="s">
        <v>403</v>
      </c>
      <c r="D157" s="28">
        <v>7.6763902E7</v>
      </c>
      <c r="E157" s="50" t="s">
        <v>26</v>
      </c>
      <c r="F157" s="25">
        <v>1017000.0</v>
      </c>
      <c r="G157" s="28">
        <v>90.0</v>
      </c>
      <c r="H157" s="26">
        <f t="shared" si="1"/>
        <v>1217349</v>
      </c>
      <c r="I157" s="26">
        <f t="shared" si="54"/>
        <v>2234349</v>
      </c>
      <c r="J157" s="26">
        <f t="shared" si="61"/>
        <v>24800</v>
      </c>
      <c r="K157" s="27">
        <v>45855.0</v>
      </c>
      <c r="L157" s="27">
        <v>45917.0</v>
      </c>
      <c r="M157" s="13" t="str">
        <f t="shared" si="59"/>
        <v>Overdue</v>
      </c>
      <c r="N157" s="24"/>
      <c r="O157" s="24"/>
      <c r="P157" s="24"/>
      <c r="Q157" s="24"/>
      <c r="R157" s="24"/>
      <c r="S157" s="24"/>
      <c r="T157" s="24"/>
      <c r="U157" s="24"/>
    </row>
    <row r="158">
      <c r="A158" s="13" t="s">
        <v>404</v>
      </c>
      <c r="B158" s="14">
        <v>7.721872E8</v>
      </c>
      <c r="C158" s="13" t="s">
        <v>405</v>
      </c>
      <c r="D158" s="14">
        <v>7.82550075E8</v>
      </c>
      <c r="E158" s="13" t="s">
        <v>57</v>
      </c>
      <c r="F158" s="26">
        <v>150000.0</v>
      </c>
      <c r="G158" s="26">
        <v>30.0</v>
      </c>
      <c r="H158" s="26">
        <f t="shared" si="1"/>
        <v>45000</v>
      </c>
      <c r="I158" s="26">
        <f t="shared" si="54"/>
        <v>195000</v>
      </c>
      <c r="J158" s="26">
        <f t="shared" si="61"/>
        <v>6500</v>
      </c>
      <c r="K158" s="29">
        <v>45693.0</v>
      </c>
      <c r="L158" s="29">
        <v>45722.0</v>
      </c>
      <c r="M158" s="13" t="str">
        <f t="shared" si="59"/>
        <v>Overdue</v>
      </c>
      <c r="N158" s="24"/>
      <c r="O158" s="24"/>
      <c r="P158" s="24"/>
      <c r="Q158" s="24"/>
      <c r="R158" s="24"/>
      <c r="S158" s="24"/>
      <c r="T158" s="24"/>
      <c r="U158" s="24"/>
    </row>
    <row r="159">
      <c r="A159" s="13" t="s">
        <v>406</v>
      </c>
      <c r="B159" s="26">
        <v>7.09645027E8</v>
      </c>
      <c r="C159" s="13" t="s">
        <v>407</v>
      </c>
      <c r="D159" s="26">
        <v>7.07425476E8</v>
      </c>
      <c r="E159" s="13" t="s">
        <v>408</v>
      </c>
      <c r="F159" s="26">
        <v>400000.0</v>
      </c>
      <c r="G159" s="26">
        <v>30.0</v>
      </c>
      <c r="H159" s="26">
        <f t="shared" si="1"/>
        <v>120000</v>
      </c>
      <c r="I159" s="26">
        <f t="shared" si="54"/>
        <v>520000</v>
      </c>
      <c r="J159" s="26">
        <f t="shared" si="61"/>
        <v>17300</v>
      </c>
      <c r="K159" s="29">
        <v>45763.0</v>
      </c>
      <c r="L159" s="30">
        <v>45793.0</v>
      </c>
      <c r="M159" s="13" t="str">
        <f t="shared" si="59"/>
        <v>Overdue</v>
      </c>
      <c r="N159" s="24"/>
      <c r="O159" s="24"/>
      <c r="P159" s="24"/>
      <c r="Q159" s="24"/>
      <c r="R159" s="24"/>
      <c r="S159" s="24"/>
      <c r="T159" s="24"/>
      <c r="U159" s="24"/>
    </row>
    <row r="160">
      <c r="A160" s="13" t="s">
        <v>409</v>
      </c>
      <c r="B160" s="14">
        <v>7.66319767E8</v>
      </c>
      <c r="C160" s="3"/>
      <c r="D160" s="3"/>
      <c r="E160" s="13" t="s">
        <v>60</v>
      </c>
      <c r="F160" s="26">
        <v>140000.0</v>
      </c>
      <c r="G160" s="26">
        <v>30.0</v>
      </c>
      <c r="H160" s="26">
        <f t="shared" si="1"/>
        <v>42000</v>
      </c>
      <c r="I160" s="26">
        <f t="shared" si="54"/>
        <v>182000</v>
      </c>
      <c r="J160" s="26">
        <f t="shared" si="61"/>
        <v>6100</v>
      </c>
      <c r="K160" s="29">
        <v>45663.0</v>
      </c>
      <c r="L160" s="29">
        <v>45722.0</v>
      </c>
      <c r="M160" s="13" t="str">
        <f t="shared" si="59"/>
        <v>Overdue</v>
      </c>
      <c r="N160" s="24"/>
      <c r="O160" s="24"/>
      <c r="P160" s="24"/>
      <c r="Q160" s="24"/>
      <c r="R160" s="24"/>
      <c r="S160" s="24"/>
      <c r="T160" s="24"/>
      <c r="U160" s="24"/>
    </row>
    <row r="161">
      <c r="A161" s="43" t="s">
        <v>410</v>
      </c>
      <c r="B161" s="44">
        <v>7.40270098E8</v>
      </c>
      <c r="C161" s="43" t="s">
        <v>411</v>
      </c>
      <c r="D161" s="44">
        <v>7.71481438E8</v>
      </c>
      <c r="E161" s="43" t="s">
        <v>60</v>
      </c>
      <c r="F161" s="22">
        <v>498800.0</v>
      </c>
      <c r="G161" s="22">
        <v>60.0</v>
      </c>
      <c r="H161" s="31">
        <f t="shared" si="1"/>
        <v>344172</v>
      </c>
      <c r="I161" s="31">
        <f t="shared" si="54"/>
        <v>842972</v>
      </c>
      <c r="J161" s="31">
        <f t="shared" si="61"/>
        <v>14000</v>
      </c>
      <c r="K161" s="52">
        <v>45847.0</v>
      </c>
      <c r="L161" s="53">
        <v>45909.0</v>
      </c>
      <c r="M161" s="43" t="str">
        <f t="shared" si="59"/>
        <v>Overdue</v>
      </c>
      <c r="N161" s="24"/>
      <c r="O161" s="24"/>
      <c r="P161" s="24"/>
      <c r="Q161" s="24"/>
      <c r="R161" s="24"/>
      <c r="S161" s="24"/>
      <c r="T161" s="24"/>
      <c r="U161" s="24"/>
    </row>
    <row r="162">
      <c r="A162" s="13" t="s">
        <v>412</v>
      </c>
      <c r="B162" s="14">
        <v>7.09505386E8</v>
      </c>
      <c r="C162" s="13" t="s">
        <v>413</v>
      </c>
      <c r="D162" s="14">
        <v>7.86499544E8</v>
      </c>
      <c r="E162" s="13" t="s">
        <v>26</v>
      </c>
      <c r="F162" s="26">
        <v>150000.0</v>
      </c>
      <c r="G162" s="26">
        <v>30.0</v>
      </c>
      <c r="H162" s="26">
        <f t="shared" si="1"/>
        <v>45000</v>
      </c>
      <c r="I162" s="26">
        <f t="shared" si="54"/>
        <v>195000</v>
      </c>
      <c r="J162" s="26">
        <f t="shared" si="61"/>
        <v>6500</v>
      </c>
      <c r="K162" s="29">
        <v>45762.0</v>
      </c>
      <c r="L162" s="30">
        <v>45792.0</v>
      </c>
      <c r="M162" s="13" t="str">
        <f t="shared" si="59"/>
        <v>Overdue</v>
      </c>
      <c r="N162" s="24"/>
      <c r="O162" s="24"/>
      <c r="P162" s="24"/>
      <c r="Q162" s="24"/>
      <c r="R162" s="24"/>
      <c r="S162" s="24"/>
      <c r="T162" s="24"/>
      <c r="U162" s="24"/>
    </row>
    <row r="163">
      <c r="A163" s="13" t="s">
        <v>414</v>
      </c>
      <c r="B163" s="14">
        <v>7.56370143E8</v>
      </c>
      <c r="C163" s="13" t="s">
        <v>415</v>
      </c>
      <c r="D163" s="14">
        <v>7.02432753E8</v>
      </c>
      <c r="E163" s="13" t="s">
        <v>26</v>
      </c>
      <c r="F163" s="26">
        <v>300000.0</v>
      </c>
      <c r="G163" s="26">
        <v>30.0</v>
      </c>
      <c r="H163" s="26">
        <f t="shared" si="1"/>
        <v>90000</v>
      </c>
      <c r="I163" s="26">
        <f t="shared" si="54"/>
        <v>390000</v>
      </c>
      <c r="J163" s="26">
        <f t="shared" si="61"/>
        <v>13000</v>
      </c>
      <c r="K163" s="29">
        <v>45763.0</v>
      </c>
      <c r="L163" s="30">
        <v>45793.0</v>
      </c>
      <c r="M163" s="13" t="str">
        <f t="shared" si="59"/>
        <v>Overdue</v>
      </c>
      <c r="N163" s="24"/>
      <c r="O163" s="24"/>
      <c r="P163" s="24"/>
      <c r="Q163" s="24"/>
      <c r="R163" s="24"/>
      <c r="S163" s="24"/>
      <c r="T163" s="24"/>
      <c r="U163" s="24"/>
    </row>
    <row r="164">
      <c r="A164" s="68" t="s">
        <v>416</v>
      </c>
      <c r="B164" s="45"/>
      <c r="C164" s="45" t="s">
        <v>417</v>
      </c>
      <c r="D164" s="45"/>
      <c r="E164" s="68" t="s">
        <v>71</v>
      </c>
      <c r="F164" s="59">
        <v>1000000.0</v>
      </c>
      <c r="G164" s="69">
        <v>30.0</v>
      </c>
      <c r="H164" s="31">
        <f t="shared" si="1"/>
        <v>300000</v>
      </c>
      <c r="I164" s="31">
        <f t="shared" si="54"/>
        <v>1300000</v>
      </c>
      <c r="J164" s="31">
        <f>I164/G164</f>
        <v>43333.33333</v>
      </c>
      <c r="K164" s="46">
        <v>45842.0</v>
      </c>
      <c r="L164" s="52">
        <v>45904.0</v>
      </c>
      <c r="M164" s="43" t="str">
        <f t="shared" si="59"/>
        <v>Overdue</v>
      </c>
      <c r="N164" s="24"/>
      <c r="O164" s="24"/>
      <c r="P164" s="24"/>
      <c r="Q164" s="24"/>
      <c r="R164" s="24"/>
      <c r="S164" s="24"/>
      <c r="T164" s="24"/>
      <c r="U164" s="24"/>
    </row>
    <row r="165" hidden="1">
      <c r="A165" s="13" t="s">
        <v>418</v>
      </c>
      <c r="B165" s="14">
        <v>7.87615291E8</v>
      </c>
      <c r="C165" s="13" t="s">
        <v>419</v>
      </c>
      <c r="D165" s="26">
        <v>7.52102053E8</v>
      </c>
      <c r="E165" s="13" t="s">
        <v>114</v>
      </c>
      <c r="F165" s="25">
        <v>400000.0</v>
      </c>
      <c r="G165" s="25">
        <v>60.0</v>
      </c>
      <c r="H165" s="26">
        <f t="shared" si="1"/>
        <v>276000</v>
      </c>
      <c r="I165" s="26">
        <f t="shared" si="54"/>
        <v>676000</v>
      </c>
      <c r="J165" s="26">
        <f t="shared" ref="J165:J178" si="62">Round(I165/G165,-2)</f>
        <v>11300</v>
      </c>
      <c r="K165" s="27">
        <v>45937.0</v>
      </c>
      <c r="L165" s="27">
        <v>45998.0</v>
      </c>
      <c r="M165" s="13" t="str">
        <f t="shared" si="59"/>
        <v>Active</v>
      </c>
      <c r="N165" s="24"/>
      <c r="O165" s="24"/>
      <c r="P165" s="24"/>
      <c r="Q165" s="24"/>
      <c r="R165" s="24"/>
      <c r="S165" s="24"/>
      <c r="T165" s="24"/>
      <c r="U165" s="24"/>
    </row>
    <row r="166">
      <c r="A166" s="13" t="s">
        <v>420</v>
      </c>
      <c r="B166" s="14">
        <v>7.549950666E9</v>
      </c>
      <c r="C166" s="13" t="s">
        <v>421</v>
      </c>
      <c r="D166" s="14">
        <v>7.52653863E8</v>
      </c>
      <c r="E166" s="13" t="s">
        <v>23</v>
      </c>
      <c r="F166" s="26">
        <v>120000.0</v>
      </c>
      <c r="G166" s="26">
        <v>30.0</v>
      </c>
      <c r="H166" s="26">
        <f t="shared" si="1"/>
        <v>36000</v>
      </c>
      <c r="I166" s="26">
        <f t="shared" si="54"/>
        <v>156000</v>
      </c>
      <c r="J166" s="26">
        <f t="shared" si="62"/>
        <v>5200</v>
      </c>
      <c r="K166" s="29">
        <v>45692.0</v>
      </c>
      <c r="L166" s="29">
        <v>45721.0</v>
      </c>
      <c r="M166" s="13" t="str">
        <f t="shared" si="59"/>
        <v>Overdue</v>
      </c>
      <c r="N166" s="24"/>
      <c r="O166" s="24"/>
      <c r="P166" s="24"/>
      <c r="Q166" s="24"/>
      <c r="R166" s="24"/>
      <c r="S166" s="24"/>
      <c r="T166" s="24"/>
      <c r="U166" s="24"/>
    </row>
    <row r="167">
      <c r="A167" s="13" t="s">
        <v>422</v>
      </c>
      <c r="B167" s="14">
        <v>7.41966674E8</v>
      </c>
      <c r="C167" s="13" t="s">
        <v>145</v>
      </c>
      <c r="D167" s="14" t="s">
        <v>423</v>
      </c>
      <c r="E167" s="13" t="s">
        <v>26</v>
      </c>
      <c r="F167" s="26">
        <v>400000.0</v>
      </c>
      <c r="G167" s="26">
        <v>30.0</v>
      </c>
      <c r="H167" s="26">
        <f t="shared" si="1"/>
        <v>120000</v>
      </c>
      <c r="I167" s="26">
        <f t="shared" si="54"/>
        <v>520000</v>
      </c>
      <c r="J167" s="26">
        <f t="shared" si="62"/>
        <v>17300</v>
      </c>
      <c r="K167" s="29">
        <v>45773.0</v>
      </c>
      <c r="L167" s="30">
        <v>45803.0</v>
      </c>
      <c r="M167" s="13" t="str">
        <f t="shared" si="59"/>
        <v>Overdue</v>
      </c>
      <c r="N167" s="24"/>
      <c r="O167" s="24"/>
      <c r="P167" s="24"/>
      <c r="Q167" s="24"/>
      <c r="R167" s="24"/>
      <c r="S167" s="24"/>
      <c r="T167" s="24"/>
      <c r="U167" s="24"/>
    </row>
    <row r="168">
      <c r="A168" s="13" t="s">
        <v>424</v>
      </c>
      <c r="B168" s="14">
        <v>7.52559281E8</v>
      </c>
      <c r="C168" s="13" t="s">
        <v>197</v>
      </c>
      <c r="D168" s="14">
        <v>7.01721708E8</v>
      </c>
      <c r="E168" s="13" t="s">
        <v>23</v>
      </c>
      <c r="F168" s="26">
        <v>250000.0</v>
      </c>
      <c r="G168" s="26">
        <v>30.0</v>
      </c>
      <c r="H168" s="26">
        <f t="shared" si="1"/>
        <v>75000</v>
      </c>
      <c r="I168" s="26">
        <f t="shared" si="54"/>
        <v>325000</v>
      </c>
      <c r="J168" s="26">
        <f t="shared" si="62"/>
        <v>10800</v>
      </c>
      <c r="K168" s="29">
        <v>45693.0</v>
      </c>
      <c r="L168" s="29">
        <v>45722.0</v>
      </c>
      <c r="M168" s="13" t="str">
        <f t="shared" si="59"/>
        <v>Overdue</v>
      </c>
      <c r="N168" s="24"/>
      <c r="O168" s="24"/>
      <c r="P168" s="24"/>
      <c r="Q168" s="24"/>
      <c r="R168" s="24"/>
      <c r="S168" s="24"/>
      <c r="T168" s="24"/>
      <c r="U168" s="24"/>
    </row>
    <row r="169">
      <c r="A169" s="13" t="s">
        <v>425</v>
      </c>
      <c r="B169" s="14">
        <v>7.09728452E8</v>
      </c>
      <c r="C169" s="13" t="s">
        <v>426</v>
      </c>
      <c r="D169" s="14">
        <v>7.04529651E8</v>
      </c>
      <c r="E169" s="13" t="s">
        <v>26</v>
      </c>
      <c r="F169" s="25">
        <v>200000.0</v>
      </c>
      <c r="G169" s="26">
        <v>30.0</v>
      </c>
      <c r="H169" s="26">
        <f t="shared" si="1"/>
        <v>60000</v>
      </c>
      <c r="I169" s="26">
        <f t="shared" si="54"/>
        <v>260000</v>
      </c>
      <c r="J169" s="26">
        <f t="shared" si="62"/>
        <v>8700</v>
      </c>
      <c r="K169" s="30">
        <v>45780.0</v>
      </c>
      <c r="L169" s="29">
        <v>45811.0</v>
      </c>
      <c r="M169" s="13" t="str">
        <f t="shared" si="59"/>
        <v>Overdue</v>
      </c>
      <c r="N169" s="24"/>
      <c r="O169" s="24"/>
      <c r="P169" s="24"/>
      <c r="Q169" s="24"/>
      <c r="R169" s="24"/>
      <c r="S169" s="24"/>
      <c r="T169" s="24"/>
      <c r="U169" s="24"/>
    </row>
    <row r="170">
      <c r="A170" s="13" t="s">
        <v>427</v>
      </c>
      <c r="B170" s="14">
        <v>7.78350334E8</v>
      </c>
      <c r="C170" s="13" t="s">
        <v>287</v>
      </c>
      <c r="D170" s="14" t="s">
        <v>428</v>
      </c>
      <c r="E170" s="13" t="s">
        <v>26</v>
      </c>
      <c r="F170" s="26">
        <v>400000.0</v>
      </c>
      <c r="G170" s="26">
        <v>30.0</v>
      </c>
      <c r="H170" s="26">
        <f t="shared" si="1"/>
        <v>120000</v>
      </c>
      <c r="I170" s="26">
        <f t="shared" si="54"/>
        <v>520000</v>
      </c>
      <c r="J170" s="26">
        <f t="shared" si="62"/>
        <v>17300</v>
      </c>
      <c r="K170" s="29">
        <v>45762.0</v>
      </c>
      <c r="L170" s="29">
        <v>45823.0</v>
      </c>
      <c r="M170" s="13" t="str">
        <f t="shared" si="59"/>
        <v>Overdue</v>
      </c>
      <c r="N170" s="24"/>
      <c r="O170" s="24"/>
      <c r="P170" s="24"/>
      <c r="Q170" s="24"/>
      <c r="R170" s="24"/>
      <c r="S170" s="24"/>
      <c r="T170" s="24"/>
      <c r="U170" s="24"/>
    </row>
    <row r="171">
      <c r="A171" s="13" t="s">
        <v>429</v>
      </c>
      <c r="B171" s="14">
        <v>7.08021077E8</v>
      </c>
      <c r="C171" s="13" t="s">
        <v>400</v>
      </c>
      <c r="D171" s="14">
        <v>7.52076414E8</v>
      </c>
      <c r="E171" s="13" t="s">
        <v>23</v>
      </c>
      <c r="F171" s="26">
        <v>100000.0</v>
      </c>
      <c r="G171" s="26">
        <v>30.0</v>
      </c>
      <c r="H171" s="26">
        <f t="shared" si="1"/>
        <v>30000</v>
      </c>
      <c r="I171" s="26">
        <f t="shared" si="54"/>
        <v>130000</v>
      </c>
      <c r="J171" s="26">
        <f t="shared" si="62"/>
        <v>4300</v>
      </c>
      <c r="K171" s="29">
        <v>45702.0</v>
      </c>
      <c r="L171" s="29">
        <v>45731.0</v>
      </c>
      <c r="M171" s="13" t="str">
        <f t="shared" si="59"/>
        <v>Overdue</v>
      </c>
      <c r="N171" s="24"/>
      <c r="O171" s="24"/>
      <c r="P171" s="24"/>
      <c r="Q171" s="24"/>
      <c r="R171" s="24"/>
      <c r="S171" s="24"/>
      <c r="T171" s="24"/>
      <c r="U171" s="24"/>
    </row>
    <row r="172">
      <c r="A172" s="13" t="s">
        <v>430</v>
      </c>
      <c r="B172" s="13" t="s">
        <v>431</v>
      </c>
      <c r="C172" s="13" t="s">
        <v>432</v>
      </c>
      <c r="D172" s="14">
        <v>7.04378319E8</v>
      </c>
      <c r="E172" s="13" t="s">
        <v>433</v>
      </c>
      <c r="F172" s="26">
        <v>240000.0</v>
      </c>
      <c r="G172" s="26">
        <v>30.0</v>
      </c>
      <c r="H172" s="26">
        <f t="shared" si="1"/>
        <v>72000</v>
      </c>
      <c r="I172" s="26">
        <f t="shared" si="54"/>
        <v>312000</v>
      </c>
      <c r="J172" s="26">
        <f t="shared" si="62"/>
        <v>10400</v>
      </c>
      <c r="K172" s="29">
        <v>45762.0</v>
      </c>
      <c r="L172" s="29">
        <v>45823.0</v>
      </c>
      <c r="M172" s="13" t="str">
        <f t="shared" si="59"/>
        <v>Overdue</v>
      </c>
      <c r="N172" s="24"/>
      <c r="O172" s="24"/>
      <c r="P172" s="24"/>
      <c r="Q172" s="24"/>
      <c r="R172" s="24"/>
      <c r="S172" s="24"/>
      <c r="T172" s="24"/>
      <c r="U172" s="24"/>
    </row>
    <row r="173">
      <c r="A173" s="13" t="s">
        <v>434</v>
      </c>
      <c r="B173" s="13" t="s">
        <v>435</v>
      </c>
      <c r="C173" s="13" t="s">
        <v>436</v>
      </c>
      <c r="D173" s="14">
        <v>7.43006253E8</v>
      </c>
      <c r="E173" s="13" t="s">
        <v>23</v>
      </c>
      <c r="F173" s="26">
        <v>200000.0</v>
      </c>
      <c r="G173" s="26">
        <v>30.0</v>
      </c>
      <c r="H173" s="26">
        <f t="shared" si="1"/>
        <v>60000</v>
      </c>
      <c r="I173" s="26">
        <f t="shared" si="54"/>
        <v>260000</v>
      </c>
      <c r="J173" s="26">
        <f t="shared" si="62"/>
        <v>8700</v>
      </c>
      <c r="K173" s="29">
        <v>45708.0</v>
      </c>
      <c r="L173" s="29">
        <v>45737.0</v>
      </c>
      <c r="M173" s="13" t="str">
        <f t="shared" si="59"/>
        <v>Overdue</v>
      </c>
      <c r="N173" s="24"/>
      <c r="O173" s="24"/>
      <c r="P173" s="24"/>
      <c r="Q173" s="24"/>
      <c r="R173" s="24"/>
      <c r="S173" s="24"/>
      <c r="T173" s="24"/>
      <c r="U173" s="24"/>
    </row>
    <row r="174">
      <c r="A174" s="13" t="s">
        <v>437</v>
      </c>
      <c r="B174" s="14">
        <v>7.4263383E8</v>
      </c>
      <c r="C174" s="13" t="s">
        <v>438</v>
      </c>
      <c r="D174" s="14">
        <v>7.53369167E8</v>
      </c>
      <c r="E174" s="13" t="s">
        <v>143</v>
      </c>
      <c r="F174" s="26">
        <v>200000.0</v>
      </c>
      <c r="G174" s="14">
        <v>30.0</v>
      </c>
      <c r="H174" s="26">
        <f t="shared" si="1"/>
        <v>60000</v>
      </c>
      <c r="I174" s="26">
        <f t="shared" si="54"/>
        <v>260000</v>
      </c>
      <c r="J174" s="26">
        <f t="shared" si="62"/>
        <v>8700</v>
      </c>
      <c r="K174" s="29">
        <v>45762.0</v>
      </c>
      <c r="L174" s="30">
        <v>45792.0</v>
      </c>
      <c r="M174" s="13" t="str">
        <f t="shared" si="59"/>
        <v>Overdue</v>
      </c>
      <c r="N174" s="56"/>
      <c r="O174" s="56"/>
      <c r="P174" s="56"/>
      <c r="Q174" s="56"/>
      <c r="R174" s="56"/>
      <c r="S174" s="56"/>
      <c r="T174" s="56"/>
      <c r="U174" s="56"/>
    </row>
    <row r="175">
      <c r="A175" s="13" t="s">
        <v>439</v>
      </c>
      <c r="B175" s="14">
        <v>7.04623536E8</v>
      </c>
      <c r="C175" s="3"/>
      <c r="D175" s="3"/>
      <c r="E175" s="3"/>
      <c r="F175" s="26">
        <v>130000.0</v>
      </c>
      <c r="G175" s="14">
        <v>30.0</v>
      </c>
      <c r="H175" s="26">
        <f t="shared" si="1"/>
        <v>39000</v>
      </c>
      <c r="I175" s="26">
        <f t="shared" si="54"/>
        <v>169000</v>
      </c>
      <c r="J175" s="26">
        <f t="shared" si="62"/>
        <v>5600</v>
      </c>
      <c r="K175" s="29">
        <v>45736.0</v>
      </c>
      <c r="L175" s="29">
        <v>45767.0</v>
      </c>
      <c r="M175" s="13" t="str">
        <f t="shared" si="59"/>
        <v>Overdue</v>
      </c>
      <c r="N175" s="24"/>
      <c r="O175" s="24"/>
      <c r="P175" s="24"/>
      <c r="Q175" s="24"/>
      <c r="R175" s="24"/>
      <c r="S175" s="24"/>
      <c r="T175" s="24"/>
      <c r="U175" s="24"/>
    </row>
    <row r="176">
      <c r="A176" s="13" t="s">
        <v>440</v>
      </c>
      <c r="B176" s="14">
        <v>7.44032727E8</v>
      </c>
      <c r="C176" s="13" t="s">
        <v>441</v>
      </c>
      <c r="D176" s="26">
        <v>7.44763131E8</v>
      </c>
      <c r="E176" s="13" t="s">
        <v>442</v>
      </c>
      <c r="F176" s="26">
        <v>400000.0</v>
      </c>
      <c r="G176" s="26">
        <v>30.0</v>
      </c>
      <c r="H176" s="26">
        <f t="shared" si="1"/>
        <v>120000</v>
      </c>
      <c r="I176" s="26">
        <f t="shared" si="54"/>
        <v>520000</v>
      </c>
      <c r="J176" s="26">
        <f t="shared" si="62"/>
        <v>17300</v>
      </c>
      <c r="K176" s="29">
        <v>45777.0</v>
      </c>
      <c r="L176" s="30">
        <v>45807.0</v>
      </c>
      <c r="M176" s="13" t="str">
        <f t="shared" si="59"/>
        <v>Overdue</v>
      </c>
      <c r="N176" s="24"/>
      <c r="O176" s="24"/>
      <c r="P176" s="24"/>
      <c r="Q176" s="24"/>
      <c r="R176" s="24"/>
      <c r="S176" s="24"/>
      <c r="T176" s="24"/>
      <c r="U176" s="24"/>
    </row>
    <row r="177">
      <c r="A177" s="13" t="s">
        <v>443</v>
      </c>
      <c r="B177" s="14">
        <v>7.46229786E8</v>
      </c>
      <c r="C177" s="13" t="s">
        <v>444</v>
      </c>
      <c r="D177" s="14">
        <v>7.46229786E8</v>
      </c>
      <c r="E177" s="13" t="s">
        <v>26</v>
      </c>
      <c r="F177" s="26">
        <v>400000.0</v>
      </c>
      <c r="G177" s="26">
        <v>60.0</v>
      </c>
      <c r="H177" s="26">
        <f t="shared" si="1"/>
        <v>276000</v>
      </c>
      <c r="I177" s="26">
        <f t="shared" si="54"/>
        <v>676000</v>
      </c>
      <c r="J177" s="26">
        <f t="shared" si="62"/>
        <v>11300</v>
      </c>
      <c r="K177" s="29">
        <v>45770.0</v>
      </c>
      <c r="L177" s="29">
        <v>45831.0</v>
      </c>
      <c r="M177" s="13" t="str">
        <f t="shared" si="59"/>
        <v>Overdue</v>
      </c>
      <c r="N177" s="24"/>
      <c r="O177" s="24"/>
      <c r="P177" s="24"/>
      <c r="Q177" s="24"/>
      <c r="R177" s="24"/>
      <c r="S177" s="24"/>
      <c r="T177" s="24"/>
      <c r="U177" s="24"/>
    </row>
    <row r="178">
      <c r="A178" s="13" t="s">
        <v>445</v>
      </c>
      <c r="B178" s="14">
        <v>7.00136264E8</v>
      </c>
      <c r="C178" s="13" t="s">
        <v>446</v>
      </c>
      <c r="D178" s="14">
        <v>7.09789777E8</v>
      </c>
      <c r="E178" s="13" t="s">
        <v>23</v>
      </c>
      <c r="F178" s="26">
        <v>100000.0</v>
      </c>
      <c r="G178" s="26">
        <v>30.0</v>
      </c>
      <c r="H178" s="26">
        <f t="shared" si="1"/>
        <v>30000</v>
      </c>
      <c r="I178" s="26">
        <f t="shared" si="54"/>
        <v>130000</v>
      </c>
      <c r="J178" s="26">
        <f t="shared" si="62"/>
        <v>4300</v>
      </c>
      <c r="K178" s="29">
        <v>45701.0</v>
      </c>
      <c r="L178" s="29">
        <v>45730.0</v>
      </c>
      <c r="M178" s="13" t="str">
        <f t="shared" si="59"/>
        <v>Overdue</v>
      </c>
      <c r="N178" s="24"/>
      <c r="O178" s="24"/>
      <c r="P178" s="24"/>
      <c r="Q178" s="24"/>
      <c r="R178" s="24"/>
      <c r="S178" s="24"/>
      <c r="T178" s="24"/>
      <c r="U178" s="24"/>
    </row>
    <row r="179">
      <c r="A179" s="63" t="s">
        <v>447</v>
      </c>
      <c r="B179" s="63">
        <v>7.89523444E8</v>
      </c>
      <c r="C179" s="63" t="s">
        <v>448</v>
      </c>
      <c r="D179" s="63">
        <v>7.02361377E8</v>
      </c>
      <c r="E179" s="63" t="s">
        <v>8</v>
      </c>
      <c r="F179" s="64">
        <v>300000.0</v>
      </c>
      <c r="G179" s="63">
        <v>60.0</v>
      </c>
      <c r="H179" s="31">
        <f t="shared" si="1"/>
        <v>207000</v>
      </c>
      <c r="I179" s="31">
        <f>F179*(1+0.3)^(G179/30)+20000</f>
        <v>527000</v>
      </c>
      <c r="J179" s="31">
        <f>I179/G179</f>
        <v>8783.333333</v>
      </c>
      <c r="K179" s="65">
        <v>45882.0</v>
      </c>
      <c r="L179" s="65">
        <v>45943.0</v>
      </c>
      <c r="M179" s="43" t="str">
        <f t="shared" si="59"/>
        <v>Overdue</v>
      </c>
      <c r="N179" s="24"/>
      <c r="O179" s="24"/>
      <c r="P179" s="24"/>
      <c r="Q179" s="24"/>
      <c r="R179" s="24"/>
      <c r="S179" s="24"/>
      <c r="T179" s="24"/>
      <c r="U179" s="24"/>
    </row>
    <row r="180">
      <c r="A180" s="13" t="s">
        <v>449</v>
      </c>
      <c r="B180" s="14">
        <v>7.42164403E8</v>
      </c>
      <c r="C180" s="13" t="s">
        <v>450</v>
      </c>
      <c r="D180" s="14">
        <v>7.52641246E8</v>
      </c>
      <c r="E180" s="13" t="s">
        <v>198</v>
      </c>
      <c r="F180" s="26">
        <v>200000.0</v>
      </c>
      <c r="G180" s="26">
        <v>30.0</v>
      </c>
      <c r="H180" s="26">
        <f t="shared" si="1"/>
        <v>60000</v>
      </c>
      <c r="I180" s="26">
        <f t="shared" ref="I180:I185" si="63">F180*(1+0.3)^(G180/30)</f>
        <v>260000</v>
      </c>
      <c r="J180" s="26">
        <f t="shared" ref="J180:J182" si="64">Round(I180/G180,-2)</f>
        <v>8700</v>
      </c>
      <c r="K180" s="29">
        <v>45708.0</v>
      </c>
      <c r="L180" s="29">
        <v>45737.0</v>
      </c>
      <c r="M180" s="13" t="str">
        <f t="shared" si="59"/>
        <v>Overdue</v>
      </c>
      <c r="N180" s="24"/>
      <c r="O180" s="24"/>
      <c r="P180" s="24"/>
      <c r="Q180" s="24"/>
      <c r="R180" s="24"/>
      <c r="S180" s="24"/>
      <c r="T180" s="24"/>
      <c r="U180" s="24"/>
    </row>
    <row r="181">
      <c r="A181" s="13" t="s">
        <v>451</v>
      </c>
      <c r="B181" s="14">
        <v>7.01582839E8</v>
      </c>
      <c r="C181" s="13" t="s">
        <v>295</v>
      </c>
      <c r="D181" s="62">
        <v>2.25009E11</v>
      </c>
      <c r="E181" s="13" t="s">
        <v>128</v>
      </c>
      <c r="F181" s="26">
        <v>65000.0</v>
      </c>
      <c r="G181" s="26">
        <v>30.0</v>
      </c>
      <c r="H181" s="26">
        <f t="shared" si="1"/>
        <v>19500</v>
      </c>
      <c r="I181" s="26">
        <f t="shared" si="63"/>
        <v>84500</v>
      </c>
      <c r="J181" s="26">
        <f t="shared" si="64"/>
        <v>2800</v>
      </c>
      <c r="K181" s="29">
        <v>45727.0</v>
      </c>
      <c r="L181" s="29">
        <v>45758.0</v>
      </c>
      <c r="M181" s="13" t="str">
        <f t="shared" si="59"/>
        <v>Overdue</v>
      </c>
      <c r="N181" s="24"/>
      <c r="O181" s="24"/>
      <c r="P181" s="24"/>
      <c r="Q181" s="24"/>
      <c r="R181" s="24"/>
      <c r="S181" s="24"/>
      <c r="T181" s="24"/>
      <c r="U181" s="24"/>
    </row>
    <row r="182">
      <c r="A182" s="41" t="s">
        <v>37</v>
      </c>
      <c r="B182" s="49">
        <v>7.02606966E8</v>
      </c>
      <c r="C182" s="41" t="s">
        <v>38</v>
      </c>
      <c r="D182" s="49">
        <v>7.62518508E8</v>
      </c>
      <c r="E182" s="41" t="s">
        <v>26</v>
      </c>
      <c r="F182" s="37">
        <v>100000.0</v>
      </c>
      <c r="G182" s="37">
        <v>30.0</v>
      </c>
      <c r="H182" s="37">
        <f t="shared" si="1"/>
        <v>30000</v>
      </c>
      <c r="I182" s="37">
        <f t="shared" si="63"/>
        <v>130000</v>
      </c>
      <c r="J182" s="37">
        <f t="shared" si="64"/>
        <v>4300</v>
      </c>
      <c r="K182" s="40">
        <v>45762.0</v>
      </c>
      <c r="L182" s="39">
        <v>45792.0</v>
      </c>
      <c r="M182" s="41" t="s">
        <v>120</v>
      </c>
      <c r="N182" s="42"/>
      <c r="O182" s="42"/>
      <c r="P182" s="42"/>
      <c r="Q182" s="42"/>
      <c r="R182" s="42"/>
      <c r="S182" s="42"/>
      <c r="T182" s="42"/>
      <c r="U182" s="42"/>
    </row>
    <row r="183">
      <c r="A183" s="13" t="s">
        <v>256</v>
      </c>
      <c r="B183" s="3"/>
      <c r="C183" s="13" t="s">
        <v>247</v>
      </c>
      <c r="D183" s="14">
        <v>7.45618863E8</v>
      </c>
      <c r="E183" s="13" t="s">
        <v>26</v>
      </c>
      <c r="F183" s="25">
        <v>1050600.0</v>
      </c>
      <c r="G183" s="25">
        <v>90.0</v>
      </c>
      <c r="H183" s="26">
        <f t="shared" si="1"/>
        <v>1257568.2</v>
      </c>
      <c r="I183" s="26">
        <f t="shared" si="63"/>
        <v>2308168.2</v>
      </c>
      <c r="J183" s="26">
        <f>I183/G183</f>
        <v>25646.31333</v>
      </c>
      <c r="K183" s="29">
        <v>45775.0</v>
      </c>
      <c r="L183" s="29">
        <v>45836.0</v>
      </c>
      <c r="M183" s="13" t="str">
        <f t="shared" ref="M183:M186" si="65">IF(TODAY()&gt;L183,"Overdue", IF(I183=0, "Cleared", "Active"))</f>
        <v>Overdue</v>
      </c>
      <c r="N183" s="24"/>
      <c r="O183" s="24"/>
      <c r="P183" s="24"/>
      <c r="Q183" s="24"/>
      <c r="R183" s="24"/>
      <c r="S183" s="24"/>
      <c r="T183" s="24"/>
      <c r="U183" s="24"/>
    </row>
    <row r="184">
      <c r="A184" s="43" t="s">
        <v>452</v>
      </c>
      <c r="B184" s="44">
        <v>7.54981158E8</v>
      </c>
      <c r="C184" s="43" t="s">
        <v>453</v>
      </c>
      <c r="D184" s="44" t="s">
        <v>454</v>
      </c>
      <c r="E184" s="43" t="s">
        <v>26</v>
      </c>
      <c r="F184" s="22">
        <v>693000.0</v>
      </c>
      <c r="G184" s="22">
        <v>60.0</v>
      </c>
      <c r="H184" s="31">
        <f t="shared" si="1"/>
        <v>478170</v>
      </c>
      <c r="I184" s="31">
        <f t="shared" si="63"/>
        <v>1171170</v>
      </c>
      <c r="J184" s="31">
        <f t="shared" ref="J184:J193" si="66">Round(I184/G184,-2)</f>
        <v>19500</v>
      </c>
      <c r="K184" s="52">
        <v>45852.0</v>
      </c>
      <c r="L184" s="57" t="s">
        <v>455</v>
      </c>
      <c r="M184" s="43" t="str">
        <f t="shared" si="65"/>
        <v>Active</v>
      </c>
      <c r="N184" s="24"/>
      <c r="O184" s="24"/>
      <c r="P184" s="24"/>
      <c r="Q184" s="24"/>
      <c r="R184" s="24"/>
      <c r="S184" s="24"/>
      <c r="T184" s="24"/>
      <c r="U184" s="24"/>
    </row>
    <row r="185">
      <c r="A185" s="13" t="s">
        <v>456</v>
      </c>
      <c r="B185" s="14">
        <v>7.05477813E8</v>
      </c>
      <c r="C185" s="13" t="s">
        <v>457</v>
      </c>
      <c r="D185" s="14">
        <v>7.52998767E8</v>
      </c>
      <c r="E185" s="13" t="s">
        <v>26</v>
      </c>
      <c r="F185" s="26">
        <v>400000.0</v>
      </c>
      <c r="G185" s="26">
        <v>30.0</v>
      </c>
      <c r="H185" s="26">
        <f t="shared" si="1"/>
        <v>120000</v>
      </c>
      <c r="I185" s="26">
        <f t="shared" si="63"/>
        <v>520000</v>
      </c>
      <c r="J185" s="26">
        <f t="shared" si="66"/>
        <v>17300</v>
      </c>
      <c r="K185" s="29">
        <v>45768.0</v>
      </c>
      <c r="L185" s="30">
        <v>45798.0</v>
      </c>
      <c r="M185" s="13" t="str">
        <f t="shared" si="65"/>
        <v>Overdue</v>
      </c>
      <c r="N185" s="24"/>
      <c r="O185" s="24"/>
      <c r="P185" s="24"/>
      <c r="Q185" s="24"/>
      <c r="R185" s="24"/>
      <c r="S185" s="24"/>
      <c r="T185" s="24"/>
      <c r="U185" s="24"/>
    </row>
    <row r="186" hidden="1">
      <c r="A186" s="13" t="s">
        <v>35</v>
      </c>
      <c r="B186" s="14">
        <v>7.0087706E8</v>
      </c>
      <c r="C186" s="13" t="s">
        <v>36</v>
      </c>
      <c r="D186" s="14">
        <v>7.55406768E8</v>
      </c>
      <c r="E186" s="13" t="s">
        <v>26</v>
      </c>
      <c r="F186" s="26">
        <v>400000.0</v>
      </c>
      <c r="G186" s="26">
        <v>30.0</v>
      </c>
      <c r="H186" s="26">
        <f t="shared" si="1"/>
        <v>120000</v>
      </c>
      <c r="I186" s="31">
        <f>F186*(1+0.3)^(G186/30)+20000</f>
        <v>540000</v>
      </c>
      <c r="J186" s="26">
        <f t="shared" si="66"/>
        <v>18000</v>
      </c>
      <c r="K186" s="27">
        <v>45945.0</v>
      </c>
      <c r="L186" s="32">
        <v>45976.0</v>
      </c>
      <c r="M186" s="13" t="str">
        <f t="shared" si="65"/>
        <v>Active</v>
      </c>
      <c r="N186" s="24"/>
      <c r="O186" s="24"/>
      <c r="P186" s="24"/>
      <c r="Q186" s="24"/>
      <c r="R186" s="24"/>
      <c r="S186" s="24"/>
      <c r="T186" s="24"/>
      <c r="U186" s="24"/>
    </row>
    <row r="187">
      <c r="A187" s="43" t="s">
        <v>458</v>
      </c>
      <c r="B187" s="44">
        <v>7.51996928E8</v>
      </c>
      <c r="C187" s="43" t="s">
        <v>459</v>
      </c>
      <c r="D187" s="44">
        <v>7.55523649E8</v>
      </c>
      <c r="E187" s="43" t="s">
        <v>114</v>
      </c>
      <c r="F187" s="22">
        <v>600000.0</v>
      </c>
      <c r="G187" s="22">
        <v>60.0</v>
      </c>
      <c r="H187" s="31">
        <f t="shared" si="1"/>
        <v>414000</v>
      </c>
      <c r="I187" s="31">
        <f t="shared" ref="I187:I193" si="67">F187*(1+0.3)^(G187/30)</f>
        <v>1014000</v>
      </c>
      <c r="J187" s="31">
        <f t="shared" si="66"/>
        <v>16900</v>
      </c>
      <c r="K187" s="53">
        <v>45848.0</v>
      </c>
      <c r="L187" s="57" t="s">
        <v>460</v>
      </c>
      <c r="M187" s="43" t="s">
        <v>361</v>
      </c>
      <c r="N187" s="24"/>
      <c r="O187" s="24"/>
      <c r="P187" s="24"/>
      <c r="Q187" s="24"/>
      <c r="R187" s="24"/>
      <c r="S187" s="24"/>
      <c r="T187" s="24"/>
      <c r="U187" s="24"/>
    </row>
    <row r="188">
      <c r="A188" s="13" t="s">
        <v>461</v>
      </c>
      <c r="B188" s="14">
        <v>7.52098257E8</v>
      </c>
      <c r="C188" s="13" t="s">
        <v>462</v>
      </c>
      <c r="D188" s="14" t="s">
        <v>463</v>
      </c>
      <c r="E188" s="13" t="s">
        <v>23</v>
      </c>
      <c r="F188" s="26">
        <v>200000.0</v>
      </c>
      <c r="G188" s="26">
        <v>30.0</v>
      </c>
      <c r="H188" s="26">
        <f t="shared" si="1"/>
        <v>60000</v>
      </c>
      <c r="I188" s="26">
        <f t="shared" si="67"/>
        <v>260000</v>
      </c>
      <c r="J188" s="26">
        <f t="shared" si="66"/>
        <v>8700</v>
      </c>
      <c r="K188" s="29">
        <v>45695.0</v>
      </c>
      <c r="L188" s="29">
        <v>45723.0</v>
      </c>
      <c r="M188" s="13" t="str">
        <f t="shared" ref="M188:M193" si="68">IF(TODAY()&gt;L188,"Overdue", IF(I188=0, "Cleared", "Active"))</f>
        <v>Overdue</v>
      </c>
      <c r="N188" s="24"/>
      <c r="O188" s="24"/>
      <c r="P188" s="24"/>
      <c r="Q188" s="24"/>
      <c r="R188" s="24"/>
      <c r="S188" s="24"/>
      <c r="T188" s="24"/>
      <c r="U188" s="24"/>
    </row>
    <row r="189">
      <c r="A189" s="13" t="s">
        <v>464</v>
      </c>
      <c r="B189" s="14">
        <v>7.07602032E8</v>
      </c>
      <c r="C189" s="13" t="s">
        <v>465</v>
      </c>
      <c r="D189" s="14">
        <v>7.89621618E8</v>
      </c>
      <c r="E189" s="13" t="s">
        <v>26</v>
      </c>
      <c r="F189" s="26">
        <v>400000.0</v>
      </c>
      <c r="G189" s="26">
        <v>30.0</v>
      </c>
      <c r="H189" s="26">
        <f t="shared" si="1"/>
        <v>120000</v>
      </c>
      <c r="I189" s="26">
        <f t="shared" si="67"/>
        <v>520000</v>
      </c>
      <c r="J189" s="26">
        <f t="shared" si="66"/>
        <v>17300</v>
      </c>
      <c r="K189" s="29">
        <v>45768.0</v>
      </c>
      <c r="L189" s="30">
        <v>45798.0</v>
      </c>
      <c r="M189" s="13" t="str">
        <f t="shared" si="68"/>
        <v>Overdue</v>
      </c>
      <c r="N189" s="24"/>
      <c r="O189" s="24"/>
      <c r="P189" s="24"/>
      <c r="Q189" s="24"/>
      <c r="R189" s="24"/>
      <c r="S189" s="24"/>
      <c r="T189" s="24"/>
      <c r="U189" s="24"/>
    </row>
    <row r="190">
      <c r="A190" s="13" t="s">
        <v>466</v>
      </c>
      <c r="B190" s="14">
        <v>7.04068112E8</v>
      </c>
      <c r="C190" s="13" t="s">
        <v>59</v>
      </c>
      <c r="D190" s="14" t="s">
        <v>467</v>
      </c>
      <c r="E190" s="13" t="s">
        <v>60</v>
      </c>
      <c r="F190" s="26">
        <v>200000.0</v>
      </c>
      <c r="G190" s="26">
        <v>30.0</v>
      </c>
      <c r="H190" s="26">
        <f t="shared" si="1"/>
        <v>60000</v>
      </c>
      <c r="I190" s="26">
        <f t="shared" si="67"/>
        <v>260000</v>
      </c>
      <c r="J190" s="26">
        <f t="shared" si="66"/>
        <v>8700</v>
      </c>
      <c r="K190" s="29">
        <v>45763.0</v>
      </c>
      <c r="L190" s="30">
        <v>45793.0</v>
      </c>
      <c r="M190" s="13" t="str">
        <f t="shared" si="68"/>
        <v>Overdue</v>
      </c>
      <c r="N190" s="24"/>
      <c r="O190" s="24"/>
      <c r="P190" s="24"/>
      <c r="Q190" s="24"/>
      <c r="R190" s="24"/>
      <c r="S190" s="24"/>
      <c r="T190" s="24"/>
      <c r="U190" s="24"/>
    </row>
    <row r="191">
      <c r="A191" s="13" t="s">
        <v>468</v>
      </c>
      <c r="B191" s="14">
        <v>7.04862597E8</v>
      </c>
      <c r="C191" s="13" t="s">
        <v>469</v>
      </c>
      <c r="D191" s="14">
        <v>7.58725963E8</v>
      </c>
      <c r="E191" s="13" t="s">
        <v>23</v>
      </c>
      <c r="F191" s="26">
        <v>100000.0</v>
      </c>
      <c r="G191" s="26">
        <v>30.0</v>
      </c>
      <c r="H191" s="26">
        <f t="shared" si="1"/>
        <v>30000</v>
      </c>
      <c r="I191" s="26">
        <f t="shared" si="67"/>
        <v>130000</v>
      </c>
      <c r="J191" s="26">
        <f t="shared" si="66"/>
        <v>4300</v>
      </c>
      <c r="K191" s="29">
        <v>45703.0</v>
      </c>
      <c r="L191" s="29">
        <v>45732.0</v>
      </c>
      <c r="M191" s="13" t="str">
        <f t="shared" si="68"/>
        <v>Overdue</v>
      </c>
      <c r="N191" s="24"/>
      <c r="O191" s="24"/>
      <c r="P191" s="24"/>
      <c r="Q191" s="24"/>
      <c r="R191" s="24"/>
      <c r="S191" s="24"/>
      <c r="T191" s="24"/>
      <c r="U191" s="24"/>
    </row>
    <row r="192">
      <c r="A192" s="13" t="s">
        <v>470</v>
      </c>
      <c r="B192" s="14">
        <v>7.0547234E8</v>
      </c>
      <c r="C192" s="13" t="s">
        <v>471</v>
      </c>
      <c r="D192" s="14">
        <v>7.45019496E8</v>
      </c>
      <c r="E192" s="13" t="s">
        <v>26</v>
      </c>
      <c r="F192" s="26">
        <v>100000.0</v>
      </c>
      <c r="G192" s="26">
        <v>30.0</v>
      </c>
      <c r="H192" s="26">
        <f t="shared" si="1"/>
        <v>30000</v>
      </c>
      <c r="I192" s="26">
        <f t="shared" si="67"/>
        <v>130000</v>
      </c>
      <c r="J192" s="26">
        <f t="shared" si="66"/>
        <v>4300</v>
      </c>
      <c r="K192" s="29">
        <v>45771.0</v>
      </c>
      <c r="L192" s="30">
        <v>45801.0</v>
      </c>
      <c r="M192" s="13" t="str">
        <f t="shared" si="68"/>
        <v>Overdue</v>
      </c>
      <c r="N192" s="24"/>
      <c r="O192" s="24"/>
      <c r="P192" s="24"/>
      <c r="Q192" s="24"/>
      <c r="R192" s="24"/>
      <c r="S192" s="24"/>
      <c r="T192" s="24"/>
      <c r="U192" s="24"/>
    </row>
    <row r="193">
      <c r="A193" s="13" t="s">
        <v>472</v>
      </c>
      <c r="B193" s="14">
        <v>7.52240517E8</v>
      </c>
      <c r="C193" s="13" t="s">
        <v>473</v>
      </c>
      <c r="D193" s="14">
        <v>7.06739652E8</v>
      </c>
      <c r="E193" s="13" t="s">
        <v>114</v>
      </c>
      <c r="F193" s="26">
        <v>300000.0</v>
      </c>
      <c r="G193" s="26">
        <v>30.0</v>
      </c>
      <c r="H193" s="26">
        <f t="shared" si="1"/>
        <v>90000</v>
      </c>
      <c r="I193" s="26">
        <f t="shared" si="67"/>
        <v>390000</v>
      </c>
      <c r="J193" s="26">
        <f t="shared" si="66"/>
        <v>13000</v>
      </c>
      <c r="K193" s="30">
        <v>45780.0</v>
      </c>
      <c r="L193" s="29">
        <v>45811.0</v>
      </c>
      <c r="M193" s="13" t="str">
        <f t="shared" si="68"/>
        <v>Overdue</v>
      </c>
      <c r="N193" s="24"/>
      <c r="O193" s="24"/>
      <c r="P193" s="24"/>
      <c r="Q193" s="24"/>
      <c r="R193" s="24"/>
      <c r="S193" s="24"/>
      <c r="T193" s="24"/>
      <c r="U193" s="24"/>
    </row>
    <row r="194">
      <c r="A194" s="13" t="s">
        <v>46</v>
      </c>
      <c r="B194" s="14">
        <v>7.06257607E8</v>
      </c>
      <c r="C194" s="13" t="s">
        <v>47</v>
      </c>
      <c r="D194" s="14">
        <v>7.73084995E8</v>
      </c>
      <c r="E194" s="13" t="s">
        <v>45</v>
      </c>
      <c r="F194" s="25">
        <v>400000.0</v>
      </c>
      <c r="G194" s="25">
        <v>60.0</v>
      </c>
      <c r="H194" s="26">
        <f t="shared" si="1"/>
        <v>276000</v>
      </c>
      <c r="I194" s="31">
        <f>F194*(1+0.3)^(G194/30)+20000</f>
        <v>696000</v>
      </c>
      <c r="J194" s="26">
        <f>I194/G194</f>
        <v>11600</v>
      </c>
      <c r="K194" s="27">
        <v>45904.0</v>
      </c>
      <c r="L194" s="32">
        <v>45965.0</v>
      </c>
      <c r="M194" s="13" t="s">
        <v>120</v>
      </c>
      <c r="N194" s="24"/>
      <c r="O194" s="24"/>
      <c r="P194" s="24"/>
      <c r="Q194" s="24"/>
      <c r="R194" s="24"/>
      <c r="S194" s="24"/>
      <c r="T194" s="24"/>
      <c r="U194" s="24"/>
    </row>
    <row r="195">
      <c r="A195" s="13" t="s">
        <v>474</v>
      </c>
      <c r="B195" s="14">
        <v>7.44249064E8</v>
      </c>
      <c r="C195" s="13" t="s">
        <v>462</v>
      </c>
      <c r="D195" s="14">
        <v>7.55529517E8</v>
      </c>
      <c r="E195" s="13" t="s">
        <v>23</v>
      </c>
      <c r="F195" s="26">
        <v>200000.0</v>
      </c>
      <c r="G195" s="26">
        <v>30.0</v>
      </c>
      <c r="H195" s="26">
        <f t="shared" si="1"/>
        <v>60000</v>
      </c>
      <c r="I195" s="26">
        <f t="shared" ref="I195:I229" si="69">F195*(1+0.3)^(G195/30)</f>
        <v>260000</v>
      </c>
      <c r="J195" s="26">
        <f>Round(I195/G195,-2)</f>
        <v>8700</v>
      </c>
      <c r="K195" s="29">
        <v>45695.0</v>
      </c>
      <c r="L195" s="29">
        <v>45724.0</v>
      </c>
      <c r="M195" s="13" t="str">
        <f>IF(TODAY()&gt;L195,"Overdue", IF(I195=0, "Cleared", "Active"))</f>
        <v>Overdue</v>
      </c>
      <c r="N195" s="24"/>
      <c r="O195" s="24"/>
      <c r="P195" s="24"/>
      <c r="Q195" s="24"/>
      <c r="R195" s="24"/>
      <c r="S195" s="24"/>
      <c r="T195" s="24"/>
      <c r="U195" s="24"/>
    </row>
    <row r="196">
      <c r="A196" s="41" t="s">
        <v>27</v>
      </c>
      <c r="B196" s="49">
        <v>7.59648561E8</v>
      </c>
      <c r="C196" s="41" t="s">
        <v>28</v>
      </c>
      <c r="D196" s="49">
        <v>7.43375669E8</v>
      </c>
      <c r="E196" s="41" t="s">
        <v>26</v>
      </c>
      <c r="F196" s="37">
        <v>400000.0</v>
      </c>
      <c r="G196" s="37">
        <v>60.0</v>
      </c>
      <c r="H196" s="37">
        <f t="shared" si="1"/>
        <v>276000</v>
      </c>
      <c r="I196" s="37">
        <f t="shared" si="69"/>
        <v>676000</v>
      </c>
      <c r="J196" s="37">
        <f>I196/G196</f>
        <v>11266.66667</v>
      </c>
      <c r="K196" s="40">
        <v>45773.0</v>
      </c>
      <c r="L196" s="40">
        <v>45467.0</v>
      </c>
      <c r="M196" s="41" t="s">
        <v>120</v>
      </c>
      <c r="N196" s="42"/>
      <c r="O196" s="42"/>
      <c r="P196" s="42"/>
      <c r="Q196" s="42"/>
      <c r="R196" s="42"/>
      <c r="S196" s="42"/>
      <c r="T196" s="42"/>
      <c r="U196" s="42"/>
    </row>
    <row r="197">
      <c r="A197" s="13" t="s">
        <v>475</v>
      </c>
      <c r="B197" s="26">
        <v>7.56277249E8</v>
      </c>
      <c r="C197" s="13" t="s">
        <v>476</v>
      </c>
      <c r="D197" s="14">
        <v>7.87720696E8</v>
      </c>
      <c r="E197" s="13" t="s">
        <v>477</v>
      </c>
      <c r="F197" s="25">
        <v>150000.0</v>
      </c>
      <c r="G197" s="14">
        <v>30.0</v>
      </c>
      <c r="H197" s="26">
        <f t="shared" si="1"/>
        <v>45000</v>
      </c>
      <c r="I197" s="26">
        <f t="shared" si="69"/>
        <v>195000</v>
      </c>
      <c r="J197" s="26">
        <f t="shared" ref="J197:J201" si="70">Round(I197/G197,-2)</f>
        <v>6500</v>
      </c>
      <c r="K197" s="29">
        <v>45665.0</v>
      </c>
      <c r="L197" s="29">
        <v>45696.0</v>
      </c>
      <c r="M197" s="13" t="str">
        <f t="shared" ref="M197:M201" si="71">IF(TODAY()&gt;L197,"Overdue", IF(I197=0, "Cleared", "Active"))</f>
        <v>Overdue</v>
      </c>
      <c r="N197" s="24"/>
      <c r="O197" s="24"/>
      <c r="P197" s="24"/>
      <c r="Q197" s="24"/>
      <c r="R197" s="24"/>
      <c r="S197" s="24"/>
      <c r="T197" s="24"/>
      <c r="U197" s="24"/>
    </row>
    <row r="198">
      <c r="A198" s="13" t="s">
        <v>478</v>
      </c>
      <c r="B198" s="14">
        <v>7.41404687E8</v>
      </c>
      <c r="C198" s="13" t="s">
        <v>88</v>
      </c>
      <c r="D198" s="14">
        <v>7.44231104E8</v>
      </c>
      <c r="E198" s="13" t="s">
        <v>26</v>
      </c>
      <c r="F198" s="25">
        <v>200000.0</v>
      </c>
      <c r="G198" s="25">
        <v>60.0</v>
      </c>
      <c r="H198" s="26">
        <f t="shared" si="1"/>
        <v>138000</v>
      </c>
      <c r="I198" s="26">
        <f t="shared" si="69"/>
        <v>338000</v>
      </c>
      <c r="J198" s="26">
        <f t="shared" si="70"/>
        <v>5600</v>
      </c>
      <c r="K198" s="30">
        <v>45780.0</v>
      </c>
      <c r="L198" s="29">
        <v>45811.0</v>
      </c>
      <c r="M198" s="13" t="str">
        <f t="shared" si="71"/>
        <v>Overdue</v>
      </c>
      <c r="N198" s="24"/>
      <c r="O198" s="24"/>
      <c r="P198" s="24"/>
      <c r="Q198" s="24"/>
      <c r="R198" s="24"/>
      <c r="S198" s="24"/>
      <c r="T198" s="24"/>
      <c r="U198" s="24"/>
    </row>
    <row r="199">
      <c r="A199" s="13" t="s">
        <v>479</v>
      </c>
      <c r="B199" s="13" t="s">
        <v>480</v>
      </c>
      <c r="C199" s="13" t="s">
        <v>481</v>
      </c>
      <c r="D199" s="14">
        <v>7.89663587E8</v>
      </c>
      <c r="E199" s="13" t="s">
        <v>482</v>
      </c>
      <c r="F199" s="26">
        <v>100000.0</v>
      </c>
      <c r="G199" s="26">
        <v>30.0</v>
      </c>
      <c r="H199" s="26">
        <f t="shared" si="1"/>
        <v>30000</v>
      </c>
      <c r="I199" s="26">
        <f t="shared" si="69"/>
        <v>130000</v>
      </c>
      <c r="J199" s="26">
        <f t="shared" si="70"/>
        <v>4300</v>
      </c>
      <c r="K199" s="29">
        <v>45742.0</v>
      </c>
      <c r="L199" s="29">
        <v>45773.0</v>
      </c>
      <c r="M199" s="13" t="str">
        <f t="shared" si="71"/>
        <v>Overdue</v>
      </c>
      <c r="N199" s="24"/>
      <c r="O199" s="24"/>
      <c r="P199" s="24"/>
      <c r="Q199" s="24"/>
      <c r="R199" s="24"/>
      <c r="S199" s="24"/>
      <c r="T199" s="24"/>
      <c r="U199" s="24"/>
    </row>
    <row r="200">
      <c r="A200" s="13" t="s">
        <v>483</v>
      </c>
      <c r="B200" s="14">
        <v>7.08122653E8</v>
      </c>
      <c r="C200" s="13" t="s">
        <v>484</v>
      </c>
      <c r="D200" s="14">
        <v>7.44763131E8</v>
      </c>
      <c r="E200" s="13" t="s">
        <v>128</v>
      </c>
      <c r="F200" s="26">
        <v>400000.0</v>
      </c>
      <c r="G200" s="26">
        <v>30.0</v>
      </c>
      <c r="H200" s="26">
        <f t="shared" si="1"/>
        <v>120000</v>
      </c>
      <c r="I200" s="26">
        <f t="shared" si="69"/>
        <v>520000</v>
      </c>
      <c r="J200" s="26">
        <f t="shared" si="70"/>
        <v>17300</v>
      </c>
      <c r="K200" s="29">
        <v>45773.0</v>
      </c>
      <c r="L200" s="30">
        <v>45803.0</v>
      </c>
      <c r="M200" s="13" t="str">
        <f t="shared" si="71"/>
        <v>Overdue</v>
      </c>
      <c r="N200" s="24"/>
      <c r="O200" s="24"/>
      <c r="P200" s="24"/>
      <c r="Q200" s="24"/>
      <c r="R200" s="24"/>
      <c r="S200" s="24"/>
      <c r="T200" s="24"/>
      <c r="U200" s="24"/>
    </row>
    <row r="201">
      <c r="A201" s="13" t="s">
        <v>485</v>
      </c>
      <c r="B201" s="14">
        <v>7.8910837E8</v>
      </c>
      <c r="C201" s="13" t="s">
        <v>486</v>
      </c>
      <c r="D201" s="14">
        <v>7.62813876E8</v>
      </c>
      <c r="E201" s="13" t="s">
        <v>26</v>
      </c>
      <c r="F201" s="26">
        <v>200000.0</v>
      </c>
      <c r="G201" s="26">
        <v>30.0</v>
      </c>
      <c r="H201" s="26">
        <f t="shared" si="1"/>
        <v>60000</v>
      </c>
      <c r="I201" s="26">
        <f t="shared" si="69"/>
        <v>260000</v>
      </c>
      <c r="J201" s="26">
        <f t="shared" si="70"/>
        <v>8700</v>
      </c>
      <c r="K201" s="29">
        <v>45762.0</v>
      </c>
      <c r="L201" s="30">
        <v>45793.0</v>
      </c>
      <c r="M201" s="13" t="str">
        <f t="shared" si="71"/>
        <v>Overdue</v>
      </c>
      <c r="N201" s="56"/>
      <c r="O201" s="56"/>
      <c r="P201" s="56"/>
      <c r="Q201" s="56"/>
      <c r="R201" s="56"/>
      <c r="S201" s="56"/>
      <c r="T201" s="56"/>
      <c r="U201" s="56"/>
    </row>
    <row r="202">
      <c r="A202" s="41" t="s">
        <v>6</v>
      </c>
      <c r="B202" s="37">
        <v>7.06592528E8</v>
      </c>
      <c r="C202" s="41" t="s">
        <v>7</v>
      </c>
      <c r="D202" s="49">
        <v>7.0864294E8</v>
      </c>
      <c r="E202" s="41" t="s">
        <v>8</v>
      </c>
      <c r="F202" s="37">
        <v>300000.0</v>
      </c>
      <c r="G202" s="49">
        <v>30.0</v>
      </c>
      <c r="H202" s="37">
        <f t="shared" si="1"/>
        <v>90000</v>
      </c>
      <c r="I202" s="37">
        <f t="shared" si="69"/>
        <v>390000</v>
      </c>
      <c r="J202" s="37">
        <f t="shared" ref="J202:J203" si="72">I202/G202</f>
        <v>13000</v>
      </c>
      <c r="K202" s="40">
        <v>45777.0</v>
      </c>
      <c r="L202" s="39">
        <v>45807.0</v>
      </c>
      <c r="M202" s="41" t="s">
        <v>120</v>
      </c>
      <c r="N202" s="42"/>
      <c r="O202" s="42"/>
      <c r="P202" s="42"/>
      <c r="Q202" s="42"/>
      <c r="R202" s="42"/>
      <c r="S202" s="42"/>
      <c r="T202" s="42"/>
      <c r="U202" s="42"/>
    </row>
    <row r="203">
      <c r="A203" s="13" t="s">
        <v>487</v>
      </c>
      <c r="B203" s="14">
        <v>7.67522502E8</v>
      </c>
      <c r="C203" s="13" t="s">
        <v>488</v>
      </c>
      <c r="D203" s="14">
        <v>7.84791946E8</v>
      </c>
      <c r="E203" s="13" t="s">
        <v>489</v>
      </c>
      <c r="F203" s="26">
        <v>300000.0</v>
      </c>
      <c r="G203" s="26">
        <v>60.0</v>
      </c>
      <c r="H203" s="26">
        <f t="shared" si="1"/>
        <v>207000</v>
      </c>
      <c r="I203" s="26">
        <f t="shared" si="69"/>
        <v>507000</v>
      </c>
      <c r="J203" s="26">
        <f t="shared" si="72"/>
        <v>8450</v>
      </c>
      <c r="K203" s="29">
        <v>45777.0</v>
      </c>
      <c r="L203" s="29">
        <v>45838.0</v>
      </c>
      <c r="M203" s="13" t="str">
        <f t="shared" ref="M203:M237" si="73">IF(TODAY()&gt;L203,"Overdue", IF(I203=0, "Cleared", "Active"))</f>
        <v>Overdue</v>
      </c>
      <c r="N203" s="24"/>
      <c r="O203" s="24"/>
      <c r="P203" s="24"/>
      <c r="Q203" s="24"/>
      <c r="R203" s="24"/>
      <c r="S203" s="24"/>
      <c r="T203" s="24"/>
      <c r="U203" s="24"/>
    </row>
    <row r="204">
      <c r="A204" s="13" t="s">
        <v>490</v>
      </c>
      <c r="B204" s="14">
        <v>7.00730759E8</v>
      </c>
      <c r="C204" s="13" t="s">
        <v>491</v>
      </c>
      <c r="D204" s="14">
        <v>7.55555759E8</v>
      </c>
      <c r="E204" s="13" t="s">
        <v>26</v>
      </c>
      <c r="F204" s="26">
        <v>400000.0</v>
      </c>
      <c r="G204" s="26">
        <v>30.0</v>
      </c>
      <c r="H204" s="26">
        <f t="shared" si="1"/>
        <v>120000</v>
      </c>
      <c r="I204" s="26">
        <f t="shared" si="69"/>
        <v>520000</v>
      </c>
      <c r="J204" s="26">
        <f>Round(I204/G204,-2)</f>
        <v>17300</v>
      </c>
      <c r="K204" s="29">
        <v>45775.0</v>
      </c>
      <c r="L204" s="30">
        <v>45805.0</v>
      </c>
      <c r="M204" s="13" t="str">
        <f t="shared" si="73"/>
        <v>Overdue</v>
      </c>
      <c r="N204" s="24"/>
      <c r="O204" s="24"/>
      <c r="P204" s="24"/>
      <c r="Q204" s="24"/>
      <c r="R204" s="24"/>
      <c r="S204" s="24"/>
      <c r="T204" s="24"/>
      <c r="U204" s="24"/>
    </row>
    <row r="205">
      <c r="A205" s="3" t="s">
        <v>492</v>
      </c>
      <c r="B205" s="33">
        <v>7.57541944E8</v>
      </c>
      <c r="C205" s="3" t="s">
        <v>150</v>
      </c>
      <c r="D205" s="33">
        <v>7.05458308E8</v>
      </c>
      <c r="E205" s="3" t="s">
        <v>151</v>
      </c>
      <c r="F205" s="33">
        <v>500000.0</v>
      </c>
      <c r="G205" s="33">
        <v>30.0</v>
      </c>
      <c r="H205" s="26">
        <f t="shared" si="1"/>
        <v>150000</v>
      </c>
      <c r="I205" s="26">
        <f t="shared" si="69"/>
        <v>650000</v>
      </c>
      <c r="J205" s="26">
        <f>I205/G205</f>
        <v>21666.66667</v>
      </c>
      <c r="K205" s="30">
        <v>45807.0</v>
      </c>
      <c r="L205" s="29">
        <v>45838.0</v>
      </c>
      <c r="M205" s="13" t="str">
        <f t="shared" si="73"/>
        <v>Overdue</v>
      </c>
      <c r="N205" s="24"/>
      <c r="O205" s="24"/>
      <c r="P205" s="24"/>
      <c r="Q205" s="24"/>
      <c r="R205" s="24"/>
      <c r="S205" s="24"/>
      <c r="T205" s="24"/>
      <c r="U205" s="24"/>
    </row>
    <row r="206">
      <c r="A206" s="13" t="s">
        <v>493</v>
      </c>
      <c r="B206" s="14">
        <v>7.46194197E8</v>
      </c>
      <c r="C206" s="13" t="s">
        <v>494</v>
      </c>
      <c r="D206" s="14">
        <v>7.47652975E8</v>
      </c>
      <c r="E206" s="13" t="s">
        <v>26</v>
      </c>
      <c r="F206" s="25">
        <v>150000.0</v>
      </c>
      <c r="G206" s="26">
        <v>30.0</v>
      </c>
      <c r="H206" s="26">
        <f t="shared" si="1"/>
        <v>45000</v>
      </c>
      <c r="I206" s="26">
        <f t="shared" si="69"/>
        <v>195000</v>
      </c>
      <c r="J206" s="26">
        <f t="shared" ref="J206:J209" si="74">Round(I206/G206,-2)</f>
        <v>6500</v>
      </c>
      <c r="K206" s="29">
        <v>45773.0</v>
      </c>
      <c r="L206" s="30">
        <v>45803.0</v>
      </c>
      <c r="M206" s="13" t="str">
        <f t="shared" si="73"/>
        <v>Overdue</v>
      </c>
      <c r="N206" s="24"/>
      <c r="O206" s="24"/>
      <c r="P206" s="24"/>
      <c r="Q206" s="24"/>
      <c r="R206" s="24"/>
      <c r="S206" s="24"/>
      <c r="T206" s="24"/>
      <c r="U206" s="24"/>
    </row>
    <row r="207">
      <c r="A207" s="13" t="s">
        <v>495</v>
      </c>
      <c r="B207" s="14">
        <v>7.51889236E8</v>
      </c>
      <c r="C207" s="13" t="s">
        <v>496</v>
      </c>
      <c r="D207" s="14" t="s">
        <v>497</v>
      </c>
      <c r="E207" s="13" t="s">
        <v>60</v>
      </c>
      <c r="F207" s="26">
        <v>200000.0</v>
      </c>
      <c r="G207" s="26">
        <v>30.0</v>
      </c>
      <c r="H207" s="26">
        <f t="shared" si="1"/>
        <v>60000</v>
      </c>
      <c r="I207" s="26">
        <f t="shared" si="69"/>
        <v>260000</v>
      </c>
      <c r="J207" s="26">
        <f t="shared" si="74"/>
        <v>8700</v>
      </c>
      <c r="K207" s="29">
        <v>45773.0</v>
      </c>
      <c r="L207" s="30">
        <v>45803.0</v>
      </c>
      <c r="M207" s="13" t="str">
        <f t="shared" si="73"/>
        <v>Overdue</v>
      </c>
      <c r="N207" s="24"/>
      <c r="O207" s="24"/>
      <c r="P207" s="24"/>
      <c r="Q207" s="24"/>
      <c r="R207" s="24"/>
      <c r="S207" s="24"/>
      <c r="T207" s="24"/>
      <c r="U207" s="24"/>
    </row>
    <row r="208">
      <c r="A208" s="13" t="s">
        <v>498</v>
      </c>
      <c r="B208" s="26">
        <v>7.50680009E8</v>
      </c>
      <c r="C208" s="13" t="s">
        <v>499</v>
      </c>
      <c r="D208" s="14" t="s">
        <v>500</v>
      </c>
      <c r="E208" s="13" t="s">
        <v>8</v>
      </c>
      <c r="F208" s="26">
        <v>100000.0</v>
      </c>
      <c r="G208" s="14">
        <v>30.0</v>
      </c>
      <c r="H208" s="26">
        <f t="shared" si="1"/>
        <v>30000</v>
      </c>
      <c r="I208" s="26">
        <f t="shared" si="69"/>
        <v>130000</v>
      </c>
      <c r="J208" s="26">
        <f t="shared" si="74"/>
        <v>4300</v>
      </c>
      <c r="K208" s="29">
        <v>45773.0</v>
      </c>
      <c r="L208" s="30">
        <v>45803.0</v>
      </c>
      <c r="M208" s="13" t="str">
        <f t="shared" si="73"/>
        <v>Overdue</v>
      </c>
      <c r="N208" s="24"/>
      <c r="O208" s="24"/>
      <c r="P208" s="24"/>
      <c r="Q208" s="24"/>
      <c r="R208" s="24"/>
      <c r="S208" s="24"/>
      <c r="T208" s="24"/>
      <c r="U208" s="24"/>
    </row>
    <row r="209">
      <c r="A209" s="13" t="s">
        <v>501</v>
      </c>
      <c r="B209" s="26">
        <v>7.08457747E8</v>
      </c>
      <c r="C209" s="3"/>
      <c r="D209" s="70"/>
      <c r="E209" s="13" t="s">
        <v>502</v>
      </c>
      <c r="F209" s="26">
        <v>100000.0</v>
      </c>
      <c r="G209" s="26">
        <v>30.0</v>
      </c>
      <c r="H209" s="26">
        <f t="shared" si="1"/>
        <v>30000</v>
      </c>
      <c r="I209" s="26">
        <f t="shared" si="69"/>
        <v>130000</v>
      </c>
      <c r="J209" s="26">
        <f t="shared" si="74"/>
        <v>4300</v>
      </c>
      <c r="K209" s="29">
        <v>45720.0</v>
      </c>
      <c r="L209" s="29">
        <v>45751.0</v>
      </c>
      <c r="M209" s="13" t="str">
        <f t="shared" si="73"/>
        <v>Overdue</v>
      </c>
      <c r="N209" s="24"/>
      <c r="O209" s="24"/>
      <c r="P209" s="24"/>
      <c r="Q209" s="24"/>
      <c r="R209" s="24"/>
      <c r="S209" s="24"/>
      <c r="T209" s="24"/>
      <c r="U209" s="24"/>
    </row>
    <row r="210">
      <c r="A210" s="13" t="s">
        <v>503</v>
      </c>
      <c r="B210" s="14">
        <v>7.02196152E8</v>
      </c>
      <c r="C210" s="13" t="s">
        <v>504</v>
      </c>
      <c r="D210" s="14">
        <v>7.04454371E8</v>
      </c>
      <c r="E210" s="13" t="s">
        <v>26</v>
      </c>
      <c r="F210" s="26">
        <v>300000.0</v>
      </c>
      <c r="G210" s="26">
        <v>60.0</v>
      </c>
      <c r="H210" s="26">
        <f t="shared" si="1"/>
        <v>207000</v>
      </c>
      <c r="I210" s="26">
        <f t="shared" si="69"/>
        <v>507000</v>
      </c>
      <c r="J210" s="26">
        <f>I210/G210</f>
        <v>8450</v>
      </c>
      <c r="K210" s="29">
        <v>45773.0</v>
      </c>
      <c r="L210" s="29">
        <v>45834.0</v>
      </c>
      <c r="M210" s="13" t="str">
        <f t="shared" si="73"/>
        <v>Overdue</v>
      </c>
      <c r="N210" s="24"/>
      <c r="O210" s="24"/>
      <c r="P210" s="24"/>
      <c r="Q210" s="24"/>
      <c r="R210" s="24"/>
      <c r="S210" s="24"/>
      <c r="T210" s="24"/>
      <c r="U210" s="24"/>
    </row>
    <row r="211">
      <c r="A211" s="13" t="s">
        <v>505</v>
      </c>
      <c r="B211" s="14">
        <v>7.53993328E8</v>
      </c>
      <c r="C211" s="13" t="s">
        <v>506</v>
      </c>
      <c r="D211" s="14">
        <v>7.01250756E8</v>
      </c>
      <c r="E211" s="13" t="s">
        <v>83</v>
      </c>
      <c r="F211" s="26">
        <v>400000.0</v>
      </c>
      <c r="G211" s="14">
        <v>30.0</v>
      </c>
      <c r="H211" s="26">
        <f t="shared" si="1"/>
        <v>120000</v>
      </c>
      <c r="I211" s="26">
        <f t="shared" si="69"/>
        <v>520000</v>
      </c>
      <c r="J211" s="26">
        <f t="shared" ref="J211:J214" si="75">Round(I211/G211,-2)</f>
        <v>17300</v>
      </c>
      <c r="K211" s="30">
        <v>45780.0</v>
      </c>
      <c r="L211" s="29">
        <v>45811.0</v>
      </c>
      <c r="M211" s="13" t="str">
        <f t="shared" si="73"/>
        <v>Overdue</v>
      </c>
      <c r="N211" s="24"/>
      <c r="O211" s="24"/>
      <c r="P211" s="24"/>
      <c r="Q211" s="24"/>
      <c r="R211" s="24"/>
      <c r="S211" s="24"/>
      <c r="T211" s="24"/>
      <c r="U211" s="24"/>
    </row>
    <row r="212">
      <c r="A212" s="13" t="s">
        <v>507</v>
      </c>
      <c r="B212" s="14">
        <v>7.40922356E8</v>
      </c>
      <c r="C212" s="13" t="s">
        <v>508</v>
      </c>
      <c r="D212" s="14">
        <v>7.72471403E8</v>
      </c>
      <c r="E212" s="13" t="s">
        <v>57</v>
      </c>
      <c r="F212" s="26">
        <v>110000.0</v>
      </c>
      <c r="G212" s="26">
        <v>30.0</v>
      </c>
      <c r="H212" s="26">
        <f t="shared" si="1"/>
        <v>33000</v>
      </c>
      <c r="I212" s="26">
        <f t="shared" si="69"/>
        <v>143000</v>
      </c>
      <c r="J212" s="26">
        <f t="shared" si="75"/>
        <v>4800</v>
      </c>
      <c r="K212" s="29">
        <v>45667.0</v>
      </c>
      <c r="L212" s="29">
        <v>45698.0</v>
      </c>
      <c r="M212" s="13" t="str">
        <f t="shared" si="73"/>
        <v>Overdue</v>
      </c>
      <c r="N212" s="24"/>
      <c r="O212" s="24"/>
      <c r="P212" s="24"/>
      <c r="Q212" s="24"/>
      <c r="R212" s="24"/>
      <c r="S212" s="24"/>
      <c r="T212" s="24"/>
      <c r="U212" s="24"/>
    </row>
    <row r="213">
      <c r="A213" s="13" t="s">
        <v>509</v>
      </c>
      <c r="B213" s="14">
        <v>7.08699343E8</v>
      </c>
      <c r="C213" s="13" t="s">
        <v>510</v>
      </c>
      <c r="D213" s="14">
        <v>7.01176447E8</v>
      </c>
      <c r="E213" s="13" t="s">
        <v>57</v>
      </c>
      <c r="F213" s="26">
        <v>150000.0</v>
      </c>
      <c r="G213" s="26">
        <v>30.0</v>
      </c>
      <c r="H213" s="26">
        <f t="shared" si="1"/>
        <v>45000</v>
      </c>
      <c r="I213" s="26">
        <f t="shared" si="69"/>
        <v>195000</v>
      </c>
      <c r="J213" s="26">
        <f t="shared" si="75"/>
        <v>6500</v>
      </c>
      <c r="K213" s="29">
        <v>45722.0</v>
      </c>
      <c r="L213" s="29">
        <v>45753.0</v>
      </c>
      <c r="M213" s="13" t="str">
        <f t="shared" si="73"/>
        <v>Overdue</v>
      </c>
      <c r="N213" s="24"/>
      <c r="O213" s="24"/>
      <c r="P213" s="24"/>
      <c r="Q213" s="24"/>
      <c r="R213" s="24"/>
      <c r="S213" s="24"/>
      <c r="T213" s="24"/>
      <c r="U213" s="24"/>
    </row>
    <row r="214">
      <c r="A214" s="13" t="s">
        <v>511</v>
      </c>
      <c r="B214" s="14">
        <v>7.58444731E8</v>
      </c>
      <c r="C214" s="13" t="s">
        <v>512</v>
      </c>
      <c r="D214" s="14">
        <v>7.08977528E8</v>
      </c>
      <c r="E214" s="13" t="s">
        <v>23</v>
      </c>
      <c r="F214" s="26">
        <v>100000.0</v>
      </c>
      <c r="G214" s="26">
        <v>30.0</v>
      </c>
      <c r="H214" s="26">
        <f t="shared" si="1"/>
        <v>30000</v>
      </c>
      <c r="I214" s="26">
        <f t="shared" si="69"/>
        <v>130000</v>
      </c>
      <c r="J214" s="26">
        <f t="shared" si="75"/>
        <v>4300</v>
      </c>
      <c r="K214" s="29">
        <v>45701.0</v>
      </c>
      <c r="L214" s="29">
        <v>45730.0</v>
      </c>
      <c r="M214" s="13" t="str">
        <f t="shared" si="73"/>
        <v>Overdue</v>
      </c>
      <c r="N214" s="24"/>
      <c r="O214" s="24"/>
      <c r="P214" s="24"/>
      <c r="Q214" s="24"/>
      <c r="R214" s="24"/>
      <c r="S214" s="24"/>
      <c r="T214" s="24"/>
      <c r="U214" s="24"/>
    </row>
    <row r="215">
      <c r="A215" s="13" t="s">
        <v>513</v>
      </c>
      <c r="B215" s="14">
        <v>7.0428095E8</v>
      </c>
      <c r="C215" s="13" t="s">
        <v>514</v>
      </c>
      <c r="D215" s="14">
        <v>7.87006784E8</v>
      </c>
      <c r="E215" s="13" t="s">
        <v>114</v>
      </c>
      <c r="F215" s="26">
        <v>500000.0</v>
      </c>
      <c r="G215" s="26">
        <v>60.0</v>
      </c>
      <c r="H215" s="26">
        <f t="shared" si="1"/>
        <v>345000</v>
      </c>
      <c r="I215" s="26">
        <f t="shared" si="69"/>
        <v>845000</v>
      </c>
      <c r="J215" s="26">
        <f>I215/G215</f>
        <v>14083.33333</v>
      </c>
      <c r="K215" s="30">
        <v>45790.0</v>
      </c>
      <c r="L215" s="29">
        <v>45851.0</v>
      </c>
      <c r="M215" s="13" t="str">
        <f t="shared" si="73"/>
        <v>Overdue</v>
      </c>
      <c r="N215" s="54"/>
      <c r="O215" s="54"/>
      <c r="P215" s="54"/>
      <c r="Q215" s="54"/>
      <c r="R215" s="54"/>
      <c r="S215" s="54"/>
      <c r="T215" s="54"/>
      <c r="U215" s="54"/>
    </row>
    <row r="216">
      <c r="A216" s="13" t="s">
        <v>515</v>
      </c>
      <c r="B216" s="14">
        <v>7.00799585E8</v>
      </c>
      <c r="C216" s="13" t="s">
        <v>516</v>
      </c>
      <c r="D216" s="14">
        <v>7.46913951E8</v>
      </c>
      <c r="E216" s="13" t="s">
        <v>198</v>
      </c>
      <c r="F216" s="26">
        <v>100000.0</v>
      </c>
      <c r="G216" s="26">
        <v>30.0</v>
      </c>
      <c r="H216" s="26">
        <f t="shared" si="1"/>
        <v>30000</v>
      </c>
      <c r="I216" s="26">
        <f t="shared" si="69"/>
        <v>130000</v>
      </c>
      <c r="J216" s="26">
        <f t="shared" ref="J216:J225" si="76">Round(I216/G216,-2)</f>
        <v>4300</v>
      </c>
      <c r="K216" s="29">
        <v>45693.0</v>
      </c>
      <c r="L216" s="29">
        <v>45721.0</v>
      </c>
      <c r="M216" s="13" t="str">
        <f t="shared" si="73"/>
        <v>Overdue</v>
      </c>
      <c r="N216" s="24"/>
      <c r="O216" s="24"/>
      <c r="P216" s="24"/>
      <c r="Q216" s="24"/>
      <c r="R216" s="24"/>
      <c r="S216" s="24"/>
      <c r="T216" s="24"/>
      <c r="U216" s="24"/>
    </row>
    <row r="217">
      <c r="A217" s="13" t="s">
        <v>517</v>
      </c>
      <c r="B217" s="13" t="s">
        <v>518</v>
      </c>
      <c r="C217" s="13" t="s">
        <v>519</v>
      </c>
      <c r="D217" s="14">
        <v>7.00668674E8</v>
      </c>
      <c r="E217" s="13" t="s">
        <v>26</v>
      </c>
      <c r="F217" s="26">
        <v>100000.0</v>
      </c>
      <c r="G217" s="26">
        <v>30.0</v>
      </c>
      <c r="H217" s="26">
        <f t="shared" si="1"/>
        <v>30000</v>
      </c>
      <c r="I217" s="26">
        <f t="shared" si="69"/>
        <v>130000</v>
      </c>
      <c r="J217" s="26">
        <f t="shared" si="76"/>
        <v>4300</v>
      </c>
      <c r="K217" s="29">
        <v>45660.0</v>
      </c>
      <c r="L217" s="29">
        <v>45691.0</v>
      </c>
      <c r="M217" s="13" t="str">
        <f t="shared" si="73"/>
        <v>Overdue</v>
      </c>
      <c r="N217" s="71"/>
      <c r="O217" s="71"/>
      <c r="P217" s="71"/>
      <c r="Q217" s="71"/>
      <c r="R217" s="71"/>
      <c r="S217" s="71"/>
      <c r="T217" s="71"/>
      <c r="U217" s="71"/>
    </row>
    <row r="218">
      <c r="A218" s="41" t="s">
        <v>9</v>
      </c>
      <c r="B218" s="37">
        <v>7.55384326E8</v>
      </c>
      <c r="C218" s="41" t="s">
        <v>10</v>
      </c>
      <c r="D218" s="49">
        <v>7.47221252E8</v>
      </c>
      <c r="E218" s="41" t="s">
        <v>11</v>
      </c>
      <c r="F218" s="37">
        <v>400000.0</v>
      </c>
      <c r="G218" s="49">
        <v>30.0</v>
      </c>
      <c r="H218" s="37">
        <f t="shared" si="1"/>
        <v>120000</v>
      </c>
      <c r="I218" s="37">
        <f t="shared" si="69"/>
        <v>520000</v>
      </c>
      <c r="J218" s="37">
        <f t="shared" si="76"/>
        <v>17300</v>
      </c>
      <c r="K218" s="39">
        <v>45780.0</v>
      </c>
      <c r="L218" s="40">
        <v>45811.0</v>
      </c>
      <c r="M218" s="41" t="str">
        <f t="shared" si="73"/>
        <v>Overdue</v>
      </c>
      <c r="N218" s="42"/>
      <c r="O218" s="42"/>
      <c r="P218" s="42"/>
      <c r="Q218" s="42"/>
      <c r="R218" s="42"/>
      <c r="S218" s="42"/>
      <c r="T218" s="42"/>
      <c r="U218" s="42"/>
    </row>
    <row r="219">
      <c r="A219" s="43" t="s">
        <v>520</v>
      </c>
      <c r="B219" s="31">
        <v>7.88847984E8</v>
      </c>
      <c r="C219" s="43" t="s">
        <v>521</v>
      </c>
      <c r="D219" s="44">
        <v>7.04624474E8</v>
      </c>
      <c r="E219" s="43" t="s">
        <v>477</v>
      </c>
      <c r="F219" s="31">
        <v>300000.0</v>
      </c>
      <c r="G219" s="44">
        <v>30.0</v>
      </c>
      <c r="H219" s="31">
        <f t="shared" si="1"/>
        <v>90000</v>
      </c>
      <c r="I219" s="31">
        <f t="shared" si="69"/>
        <v>390000</v>
      </c>
      <c r="J219" s="31">
        <f t="shared" si="76"/>
        <v>13000</v>
      </c>
      <c r="K219" s="46">
        <v>46005.0</v>
      </c>
      <c r="L219" s="46">
        <v>45671.0</v>
      </c>
      <c r="M219" s="43" t="str">
        <f t="shared" si="73"/>
        <v>Overdue</v>
      </c>
      <c r="N219" s="24"/>
      <c r="O219" s="24"/>
      <c r="P219" s="24"/>
      <c r="Q219" s="24"/>
      <c r="R219" s="24"/>
      <c r="S219" s="24"/>
      <c r="T219" s="24"/>
      <c r="U219" s="24"/>
    </row>
    <row r="220">
      <c r="A220" s="13" t="s">
        <v>522</v>
      </c>
      <c r="B220" s="13" t="s">
        <v>523</v>
      </c>
      <c r="C220" s="13" t="s">
        <v>524</v>
      </c>
      <c r="D220" s="14">
        <v>7.03120075E8</v>
      </c>
      <c r="E220" s="13" t="s">
        <v>26</v>
      </c>
      <c r="F220" s="26">
        <v>300000.0</v>
      </c>
      <c r="G220" s="26">
        <v>30.0</v>
      </c>
      <c r="H220" s="26">
        <f t="shared" si="1"/>
        <v>90000</v>
      </c>
      <c r="I220" s="26">
        <f t="shared" si="69"/>
        <v>390000</v>
      </c>
      <c r="J220" s="26">
        <f t="shared" si="76"/>
        <v>13000</v>
      </c>
      <c r="K220" s="29">
        <v>45762.0</v>
      </c>
      <c r="L220" s="30">
        <v>45792.0</v>
      </c>
      <c r="M220" s="13" t="str">
        <f t="shared" si="73"/>
        <v>Overdue</v>
      </c>
      <c r="N220" s="55"/>
      <c r="O220" s="55"/>
      <c r="P220" s="55"/>
      <c r="Q220" s="55"/>
      <c r="R220" s="55"/>
      <c r="S220" s="55"/>
      <c r="T220" s="55"/>
      <c r="U220" s="55"/>
    </row>
    <row r="221">
      <c r="A221" s="13" t="s">
        <v>525</v>
      </c>
      <c r="B221" s="14">
        <v>7.64796607E8</v>
      </c>
      <c r="C221" s="13" t="s">
        <v>295</v>
      </c>
      <c r="D221" s="62">
        <v>2.25001E13</v>
      </c>
      <c r="E221" s="13" t="s">
        <v>54</v>
      </c>
      <c r="F221" s="26">
        <v>58400.0</v>
      </c>
      <c r="G221" s="26">
        <v>30.0</v>
      </c>
      <c r="H221" s="26">
        <f t="shared" si="1"/>
        <v>17520</v>
      </c>
      <c r="I221" s="26">
        <f t="shared" si="69"/>
        <v>75920</v>
      </c>
      <c r="J221" s="26">
        <f t="shared" si="76"/>
        <v>2500</v>
      </c>
      <c r="K221" s="29">
        <v>45720.0</v>
      </c>
      <c r="L221" s="29">
        <v>45751.0</v>
      </c>
      <c r="M221" s="13" t="str">
        <f t="shared" si="73"/>
        <v>Overdue</v>
      </c>
      <c r="N221" s="24"/>
      <c r="O221" s="24"/>
      <c r="P221" s="24"/>
      <c r="Q221" s="24"/>
      <c r="R221" s="24"/>
      <c r="S221" s="24"/>
      <c r="T221" s="24"/>
      <c r="U221" s="24"/>
    </row>
    <row r="222">
      <c r="A222" s="13" t="s">
        <v>526</v>
      </c>
      <c r="B222" s="14">
        <v>7.59422624E8</v>
      </c>
      <c r="C222" s="13" t="s">
        <v>527</v>
      </c>
      <c r="D222" s="14">
        <v>7.80742141E8</v>
      </c>
      <c r="E222" s="13" t="s">
        <v>57</v>
      </c>
      <c r="F222" s="26">
        <v>100000.0</v>
      </c>
      <c r="G222" s="26">
        <v>30.0</v>
      </c>
      <c r="H222" s="26">
        <f t="shared" si="1"/>
        <v>30000</v>
      </c>
      <c r="I222" s="26">
        <f t="shared" si="69"/>
        <v>130000</v>
      </c>
      <c r="J222" s="26">
        <f t="shared" si="76"/>
        <v>4300</v>
      </c>
      <c r="K222" s="29">
        <v>45660.0</v>
      </c>
      <c r="L222" s="29">
        <v>45691.0</v>
      </c>
      <c r="M222" s="13" t="str">
        <f t="shared" si="73"/>
        <v>Overdue</v>
      </c>
      <c r="N222" s="24"/>
      <c r="O222" s="24"/>
      <c r="P222" s="24"/>
      <c r="Q222" s="24"/>
      <c r="R222" s="24"/>
      <c r="S222" s="24"/>
      <c r="T222" s="24"/>
      <c r="U222" s="24"/>
    </row>
    <row r="223">
      <c r="A223" s="13" t="s">
        <v>528</v>
      </c>
      <c r="B223" s="14">
        <v>7.4572846E8</v>
      </c>
      <c r="C223" s="13" t="s">
        <v>529</v>
      </c>
      <c r="D223" s="14">
        <v>7.4263383E8</v>
      </c>
      <c r="E223" s="13" t="s">
        <v>26</v>
      </c>
      <c r="F223" s="26">
        <v>200000.0</v>
      </c>
      <c r="G223" s="26">
        <v>30.0</v>
      </c>
      <c r="H223" s="26">
        <f t="shared" si="1"/>
        <v>60000</v>
      </c>
      <c r="I223" s="26">
        <f t="shared" si="69"/>
        <v>260000</v>
      </c>
      <c r="J223" s="26">
        <f t="shared" si="76"/>
        <v>8700</v>
      </c>
      <c r="K223" s="29">
        <v>45762.0</v>
      </c>
      <c r="L223" s="30">
        <v>45792.0</v>
      </c>
      <c r="M223" s="13" t="str">
        <f t="shared" si="73"/>
        <v>Overdue</v>
      </c>
      <c r="N223" s="24"/>
      <c r="O223" s="24"/>
      <c r="P223" s="24"/>
      <c r="Q223" s="24"/>
      <c r="R223" s="24"/>
      <c r="S223" s="24"/>
      <c r="T223" s="24"/>
      <c r="U223" s="24"/>
    </row>
    <row r="224">
      <c r="A224" s="13" t="s">
        <v>530</v>
      </c>
      <c r="B224" s="13" t="s">
        <v>531</v>
      </c>
      <c r="C224" s="13" t="s">
        <v>532</v>
      </c>
      <c r="D224" s="14" t="s">
        <v>533</v>
      </c>
      <c r="E224" s="13" t="s">
        <v>45</v>
      </c>
      <c r="F224" s="26">
        <v>300000.0</v>
      </c>
      <c r="G224" s="26">
        <v>60.0</v>
      </c>
      <c r="H224" s="26">
        <f t="shared" si="1"/>
        <v>207000</v>
      </c>
      <c r="I224" s="26">
        <f t="shared" si="69"/>
        <v>507000</v>
      </c>
      <c r="J224" s="26">
        <f t="shared" si="76"/>
        <v>8500</v>
      </c>
      <c r="K224" s="29">
        <v>45738.0</v>
      </c>
      <c r="L224" s="30">
        <v>45799.0</v>
      </c>
      <c r="M224" s="13" t="str">
        <f t="shared" si="73"/>
        <v>Overdue</v>
      </c>
      <c r="N224" s="24"/>
      <c r="O224" s="24"/>
      <c r="P224" s="24"/>
      <c r="Q224" s="24"/>
      <c r="R224" s="24"/>
      <c r="S224" s="24"/>
      <c r="T224" s="24"/>
      <c r="U224" s="24"/>
    </row>
    <row r="225">
      <c r="A225" s="13" t="s">
        <v>534</v>
      </c>
      <c r="B225" s="14">
        <v>7.02817292E8</v>
      </c>
      <c r="C225" s="13" t="s">
        <v>516</v>
      </c>
      <c r="D225" s="14">
        <v>7.46913951E8</v>
      </c>
      <c r="E225" s="13" t="s">
        <v>23</v>
      </c>
      <c r="F225" s="26">
        <v>100000.0</v>
      </c>
      <c r="G225" s="26">
        <v>30.0</v>
      </c>
      <c r="H225" s="26">
        <f t="shared" si="1"/>
        <v>30000</v>
      </c>
      <c r="I225" s="26">
        <f t="shared" si="69"/>
        <v>130000</v>
      </c>
      <c r="J225" s="26">
        <f t="shared" si="76"/>
        <v>4300</v>
      </c>
      <c r="K225" s="29">
        <v>45693.0</v>
      </c>
      <c r="L225" s="29">
        <v>45722.0</v>
      </c>
      <c r="M225" s="13" t="str">
        <f t="shared" si="73"/>
        <v>Overdue</v>
      </c>
      <c r="N225" s="72"/>
      <c r="O225" s="72"/>
      <c r="P225" s="72"/>
      <c r="Q225" s="72"/>
      <c r="R225" s="72"/>
      <c r="S225" s="72"/>
      <c r="T225" s="72"/>
      <c r="U225" s="72"/>
    </row>
    <row r="226">
      <c r="A226" s="41" t="s">
        <v>3</v>
      </c>
      <c r="B226" s="37">
        <v>7.42094463E8</v>
      </c>
      <c r="C226" s="41" t="s">
        <v>4</v>
      </c>
      <c r="D226" s="49">
        <v>7.53875749E8</v>
      </c>
      <c r="E226" s="41" t="s">
        <v>5</v>
      </c>
      <c r="F226" s="38">
        <v>639000.0</v>
      </c>
      <c r="G226" s="49">
        <v>30.0</v>
      </c>
      <c r="H226" s="37">
        <f t="shared" si="1"/>
        <v>191700</v>
      </c>
      <c r="I226" s="37">
        <f t="shared" si="69"/>
        <v>830700</v>
      </c>
      <c r="J226" s="37">
        <f>I226/G226</f>
        <v>27690</v>
      </c>
      <c r="K226" s="40">
        <v>45738.0</v>
      </c>
      <c r="L226" s="40">
        <v>45769.0</v>
      </c>
      <c r="M226" s="41" t="str">
        <f t="shared" si="73"/>
        <v>Overdue</v>
      </c>
      <c r="N226" s="42"/>
      <c r="O226" s="42"/>
      <c r="P226" s="42"/>
      <c r="Q226" s="42"/>
      <c r="R226" s="42"/>
      <c r="S226" s="42"/>
      <c r="T226" s="42"/>
      <c r="U226" s="42"/>
    </row>
    <row r="227">
      <c r="A227" s="13" t="s">
        <v>535</v>
      </c>
      <c r="B227" s="14">
        <v>7.85269323E8</v>
      </c>
      <c r="C227" s="13" t="s">
        <v>536</v>
      </c>
      <c r="D227" s="14">
        <v>7.46913951E8</v>
      </c>
      <c r="E227" s="13" t="s">
        <v>198</v>
      </c>
      <c r="F227" s="26">
        <v>100000.0</v>
      </c>
      <c r="G227" s="26">
        <v>30.0</v>
      </c>
      <c r="H227" s="26">
        <f t="shared" si="1"/>
        <v>30000</v>
      </c>
      <c r="I227" s="26">
        <f t="shared" si="69"/>
        <v>130000</v>
      </c>
      <c r="J227" s="26">
        <f t="shared" ref="J227:J229" si="77">Round(I227/G227,-2)</f>
        <v>4300</v>
      </c>
      <c r="K227" s="29">
        <v>45693.0</v>
      </c>
      <c r="L227" s="29">
        <v>45721.0</v>
      </c>
      <c r="M227" s="13" t="str">
        <f t="shared" si="73"/>
        <v>Overdue</v>
      </c>
      <c r="N227" s="24"/>
      <c r="O227" s="24"/>
      <c r="P227" s="24"/>
      <c r="Q227" s="24"/>
      <c r="R227" s="24"/>
      <c r="S227" s="24"/>
      <c r="T227" s="24"/>
      <c r="U227" s="24"/>
    </row>
    <row r="228">
      <c r="A228" s="13" t="s">
        <v>537</v>
      </c>
      <c r="B228" s="26">
        <v>7.40405132E8</v>
      </c>
      <c r="C228" s="13" t="s">
        <v>538</v>
      </c>
      <c r="D228" s="14">
        <v>7.53096047E8</v>
      </c>
      <c r="E228" s="13" t="s">
        <v>11</v>
      </c>
      <c r="F228" s="26">
        <v>300000.0</v>
      </c>
      <c r="G228" s="14">
        <v>30.0</v>
      </c>
      <c r="H228" s="26">
        <f t="shared" si="1"/>
        <v>90000</v>
      </c>
      <c r="I228" s="26">
        <f t="shared" si="69"/>
        <v>390000</v>
      </c>
      <c r="J228" s="26">
        <f t="shared" si="77"/>
        <v>13000</v>
      </c>
      <c r="K228" s="29">
        <v>45777.0</v>
      </c>
      <c r="L228" s="30">
        <v>45807.0</v>
      </c>
      <c r="M228" s="13" t="str">
        <f t="shared" si="73"/>
        <v>Overdue</v>
      </c>
      <c r="N228" s="55"/>
      <c r="O228" s="55"/>
      <c r="P228" s="55"/>
      <c r="Q228" s="55"/>
      <c r="R228" s="55"/>
      <c r="S228" s="55"/>
      <c r="T228" s="55"/>
      <c r="U228" s="55"/>
    </row>
    <row r="229">
      <c r="A229" s="13" t="s">
        <v>539</v>
      </c>
      <c r="B229" s="13" t="s">
        <v>540</v>
      </c>
      <c r="C229" s="13" t="s">
        <v>541</v>
      </c>
      <c r="D229" s="14">
        <v>7.84676433E8</v>
      </c>
      <c r="E229" s="13" t="s">
        <v>57</v>
      </c>
      <c r="F229" s="26">
        <v>200000.0</v>
      </c>
      <c r="G229" s="26">
        <v>30.0</v>
      </c>
      <c r="H229" s="26">
        <f t="shared" si="1"/>
        <v>60000</v>
      </c>
      <c r="I229" s="26">
        <f t="shared" si="69"/>
        <v>260000</v>
      </c>
      <c r="J229" s="26">
        <f t="shared" si="77"/>
        <v>8700</v>
      </c>
      <c r="K229" s="29">
        <v>45665.0</v>
      </c>
      <c r="L229" s="29">
        <v>45696.0</v>
      </c>
      <c r="M229" s="13" t="str">
        <f t="shared" si="73"/>
        <v>Overdue</v>
      </c>
      <c r="N229" s="24"/>
      <c r="O229" s="24"/>
      <c r="P229" s="24"/>
      <c r="Q229" s="24"/>
      <c r="R229" s="24"/>
      <c r="S229" s="24"/>
      <c r="T229" s="24"/>
      <c r="U229" s="24"/>
    </row>
    <row r="230">
      <c r="A230" s="63" t="s">
        <v>542</v>
      </c>
      <c r="B230" s="63">
        <v>7.71509951E8</v>
      </c>
      <c r="C230" s="63" t="s">
        <v>543</v>
      </c>
      <c r="D230" s="73"/>
      <c r="E230" s="63" t="s">
        <v>71</v>
      </c>
      <c r="F230" s="64">
        <v>500000.0</v>
      </c>
      <c r="G230" s="63">
        <v>60.0</v>
      </c>
      <c r="H230" s="31">
        <f t="shared" si="1"/>
        <v>345000</v>
      </c>
      <c r="I230" s="31">
        <f>F230*(1+0.3)^(G230/30)+20000</f>
        <v>865000</v>
      </c>
      <c r="J230" s="31">
        <f>I230/G230</f>
        <v>14416.66667</v>
      </c>
      <c r="K230" s="65">
        <v>45882.0</v>
      </c>
      <c r="L230" s="65">
        <v>45943.0</v>
      </c>
      <c r="M230" s="43" t="str">
        <f t="shared" si="73"/>
        <v>Overdue</v>
      </c>
      <c r="N230" s="24"/>
      <c r="O230" s="24"/>
      <c r="P230" s="24"/>
      <c r="Q230" s="24"/>
      <c r="R230" s="24"/>
      <c r="S230" s="24"/>
      <c r="T230" s="24"/>
      <c r="U230" s="24"/>
    </row>
    <row r="231">
      <c r="A231" s="13" t="s">
        <v>544</v>
      </c>
      <c r="B231" s="14">
        <v>7.52732332E8</v>
      </c>
      <c r="C231" s="13" t="s">
        <v>545</v>
      </c>
      <c r="D231" s="14">
        <v>7.51464382E8</v>
      </c>
      <c r="E231" s="13" t="s">
        <v>23</v>
      </c>
      <c r="F231" s="26">
        <v>60000.0</v>
      </c>
      <c r="G231" s="26">
        <v>30.0</v>
      </c>
      <c r="H231" s="26">
        <f t="shared" si="1"/>
        <v>18000</v>
      </c>
      <c r="I231" s="26">
        <f t="shared" ref="I231:I235" si="78">F231*(1+0.3)^(G231/30)</f>
        <v>78000</v>
      </c>
      <c r="J231" s="26">
        <f>Round(I231/G231,-2)</f>
        <v>2600</v>
      </c>
      <c r="K231" s="29">
        <v>45693.0</v>
      </c>
      <c r="L231" s="29">
        <v>45723.0</v>
      </c>
      <c r="M231" s="13" t="str">
        <f t="shared" si="73"/>
        <v>Overdue</v>
      </c>
      <c r="N231" s="24"/>
      <c r="O231" s="24"/>
      <c r="P231" s="24"/>
      <c r="Q231" s="24"/>
      <c r="R231" s="24"/>
      <c r="S231" s="24"/>
      <c r="T231" s="24"/>
      <c r="U231" s="24"/>
    </row>
    <row r="232">
      <c r="A232" s="13" t="s">
        <v>546</v>
      </c>
      <c r="B232" s="14">
        <v>7.47107742E8</v>
      </c>
      <c r="C232" s="13" t="s">
        <v>270</v>
      </c>
      <c r="D232" s="14">
        <v>7.82721046E8</v>
      </c>
      <c r="E232" s="13" t="s">
        <v>26</v>
      </c>
      <c r="F232" s="25">
        <v>624000.0</v>
      </c>
      <c r="G232" s="26">
        <v>60.0</v>
      </c>
      <c r="H232" s="26">
        <f t="shared" si="1"/>
        <v>430560</v>
      </c>
      <c r="I232" s="26">
        <f t="shared" si="78"/>
        <v>1054560</v>
      </c>
      <c r="J232" s="26">
        <f t="shared" ref="J232:J233" si="79">I232/G232</f>
        <v>17576</v>
      </c>
      <c r="K232" s="32">
        <v>45901.0</v>
      </c>
      <c r="L232" s="27">
        <v>45931.0</v>
      </c>
      <c r="M232" s="13" t="str">
        <f t="shared" si="73"/>
        <v>Overdue</v>
      </c>
      <c r="N232" s="24"/>
      <c r="O232" s="24"/>
      <c r="P232" s="24"/>
      <c r="Q232" s="24"/>
      <c r="R232" s="24"/>
      <c r="S232" s="24"/>
      <c r="T232" s="24"/>
      <c r="U232" s="24"/>
    </row>
    <row r="233">
      <c r="A233" s="3" t="s">
        <v>547</v>
      </c>
      <c r="B233" s="33">
        <v>7.4613537E8</v>
      </c>
      <c r="C233" s="3" t="s">
        <v>548</v>
      </c>
      <c r="D233" s="33">
        <v>7.48442562E8</v>
      </c>
      <c r="E233" s="3"/>
      <c r="F233" s="47">
        <v>1000000.0</v>
      </c>
      <c r="G233" s="48">
        <v>30.0</v>
      </c>
      <c r="H233" s="26">
        <f t="shared" si="1"/>
        <v>300000</v>
      </c>
      <c r="I233" s="26">
        <f t="shared" si="78"/>
        <v>1300000</v>
      </c>
      <c r="J233" s="26">
        <f t="shared" si="79"/>
        <v>43333.33333</v>
      </c>
      <c r="K233" s="29">
        <v>45834.0</v>
      </c>
      <c r="L233" s="30">
        <v>45895.0</v>
      </c>
      <c r="M233" s="13" t="str">
        <f t="shared" si="73"/>
        <v>Overdue</v>
      </c>
      <c r="N233" s="24"/>
      <c r="O233" s="24"/>
      <c r="P233" s="24"/>
      <c r="Q233" s="24"/>
      <c r="R233" s="24"/>
      <c r="S233" s="24"/>
      <c r="T233" s="24"/>
      <c r="U233" s="24"/>
    </row>
    <row r="234">
      <c r="A234" s="13" t="s">
        <v>549</v>
      </c>
      <c r="B234" s="13" t="s">
        <v>550</v>
      </c>
      <c r="C234" s="13" t="s">
        <v>551</v>
      </c>
      <c r="D234" s="14">
        <v>7.77668287E8</v>
      </c>
      <c r="E234" s="13" t="s">
        <v>23</v>
      </c>
      <c r="F234" s="26">
        <v>100000.0</v>
      </c>
      <c r="G234" s="26">
        <v>30.0</v>
      </c>
      <c r="H234" s="26">
        <f t="shared" si="1"/>
        <v>30000</v>
      </c>
      <c r="I234" s="26">
        <f t="shared" si="78"/>
        <v>130000</v>
      </c>
      <c r="J234" s="26">
        <f>Round(I234/G234,-2)</f>
        <v>4300</v>
      </c>
      <c r="K234" s="29">
        <v>45692.0</v>
      </c>
      <c r="L234" s="29">
        <v>45721.0</v>
      </c>
      <c r="M234" s="13" t="str">
        <f t="shared" si="73"/>
        <v>Overdue</v>
      </c>
      <c r="N234" s="24"/>
      <c r="O234" s="24"/>
      <c r="P234" s="24"/>
      <c r="Q234" s="24"/>
      <c r="R234" s="24"/>
      <c r="S234" s="24"/>
      <c r="T234" s="24"/>
      <c r="U234" s="24"/>
    </row>
    <row r="235" ht="18.0" customHeight="1">
      <c r="A235" s="41" t="s">
        <v>39</v>
      </c>
      <c r="B235" s="74" t="s">
        <v>552</v>
      </c>
      <c r="C235" s="41" t="s">
        <v>40</v>
      </c>
      <c r="D235" s="49">
        <v>7.72486073E8</v>
      </c>
      <c r="E235" s="41" t="s">
        <v>26</v>
      </c>
      <c r="F235" s="37">
        <v>300000.0</v>
      </c>
      <c r="G235" s="37">
        <v>60.0</v>
      </c>
      <c r="H235" s="37">
        <f t="shared" si="1"/>
        <v>207000</v>
      </c>
      <c r="I235" s="37">
        <f t="shared" si="78"/>
        <v>507000</v>
      </c>
      <c r="J235" s="37">
        <f t="shared" ref="J235:J236" si="80">I235/G235</f>
        <v>8450</v>
      </c>
      <c r="K235" s="40">
        <v>45762.0</v>
      </c>
      <c r="L235" s="41" t="s">
        <v>553</v>
      </c>
      <c r="M235" s="41" t="str">
        <f t="shared" si="73"/>
        <v>Active</v>
      </c>
      <c r="N235" s="42"/>
      <c r="O235" s="42"/>
      <c r="P235" s="42"/>
      <c r="Q235" s="42"/>
      <c r="R235" s="42"/>
      <c r="S235" s="42"/>
      <c r="T235" s="42"/>
      <c r="U235" s="42"/>
    </row>
    <row r="236" ht="17.25" customHeight="1">
      <c r="A236" s="63" t="s">
        <v>554</v>
      </c>
      <c r="B236" s="63">
        <v>7.42247774E8</v>
      </c>
      <c r="C236" s="63" t="s">
        <v>555</v>
      </c>
      <c r="D236" s="63">
        <v>7.03783951E8</v>
      </c>
      <c r="E236" s="63" t="s">
        <v>71</v>
      </c>
      <c r="F236" s="64">
        <v>400000.0</v>
      </c>
      <c r="G236" s="63">
        <v>60.0</v>
      </c>
      <c r="H236" s="31">
        <f t="shared" si="1"/>
        <v>276000</v>
      </c>
      <c r="I236" s="31">
        <f>F236*(1+0.3)^(G236/30)+20000</f>
        <v>696000</v>
      </c>
      <c r="J236" s="31">
        <f t="shared" si="80"/>
        <v>11600</v>
      </c>
      <c r="K236" s="65">
        <v>45877.0</v>
      </c>
      <c r="L236" s="65">
        <v>45938.0</v>
      </c>
      <c r="M236" s="43" t="str">
        <f t="shared" si="73"/>
        <v>Overdue</v>
      </c>
      <c r="N236" s="24"/>
      <c r="O236" s="24"/>
      <c r="P236" s="24"/>
      <c r="Q236" s="24"/>
      <c r="R236" s="24"/>
      <c r="S236" s="24"/>
      <c r="T236" s="24"/>
      <c r="U236" s="24"/>
    </row>
    <row r="237">
      <c r="A237" s="41" t="s">
        <v>12</v>
      </c>
      <c r="B237" s="37">
        <v>7.61849518E8</v>
      </c>
      <c r="C237" s="41" t="s">
        <v>13</v>
      </c>
      <c r="D237" s="49">
        <v>7.05380177E8</v>
      </c>
      <c r="E237" s="41" t="s">
        <v>11</v>
      </c>
      <c r="F237" s="37">
        <v>400000.0</v>
      </c>
      <c r="G237" s="49">
        <v>30.0</v>
      </c>
      <c r="H237" s="37">
        <f t="shared" si="1"/>
        <v>120000</v>
      </c>
      <c r="I237" s="37">
        <f t="shared" ref="I237:I246" si="81">F237*(1+0.3)^(G237/30)</f>
        <v>520000</v>
      </c>
      <c r="J237" s="37">
        <f t="shared" ref="J237:J246" si="82">Round(I237/G237,-2)</f>
        <v>17300</v>
      </c>
      <c r="K237" s="40">
        <v>45750.0</v>
      </c>
      <c r="L237" s="39">
        <v>45780.0</v>
      </c>
      <c r="M237" s="41" t="str">
        <f t="shared" si="73"/>
        <v>Overdue</v>
      </c>
      <c r="N237" s="42"/>
      <c r="O237" s="42"/>
      <c r="P237" s="42"/>
      <c r="Q237" s="42"/>
      <c r="R237" s="42"/>
      <c r="S237" s="42"/>
      <c r="T237" s="42"/>
      <c r="U237" s="42"/>
    </row>
    <row r="238">
      <c r="A238" s="41" t="s">
        <v>17</v>
      </c>
      <c r="B238" s="49">
        <v>7.42884112E8</v>
      </c>
      <c r="C238" s="41" t="s">
        <v>7</v>
      </c>
      <c r="D238" s="37">
        <v>7.0864294E8</v>
      </c>
      <c r="E238" s="41" t="s">
        <v>16</v>
      </c>
      <c r="F238" s="37">
        <v>300000.0</v>
      </c>
      <c r="G238" s="37">
        <v>30.0</v>
      </c>
      <c r="H238" s="37">
        <f t="shared" si="1"/>
        <v>90000</v>
      </c>
      <c r="I238" s="37">
        <f t="shared" si="81"/>
        <v>390000</v>
      </c>
      <c r="J238" s="37">
        <f t="shared" si="82"/>
        <v>13000</v>
      </c>
      <c r="K238" s="40">
        <v>45777.0</v>
      </c>
      <c r="L238" s="39">
        <v>45807.0</v>
      </c>
      <c r="M238" s="41" t="s">
        <v>361</v>
      </c>
      <c r="N238" s="42"/>
      <c r="O238" s="42"/>
      <c r="P238" s="42"/>
      <c r="Q238" s="42"/>
      <c r="R238" s="42"/>
      <c r="S238" s="42"/>
      <c r="T238" s="42"/>
      <c r="U238" s="42"/>
    </row>
    <row r="239">
      <c r="A239" s="13" t="s">
        <v>556</v>
      </c>
      <c r="B239" s="14">
        <v>7.57772129E8</v>
      </c>
      <c r="C239" s="13" t="s">
        <v>557</v>
      </c>
      <c r="D239" s="26">
        <v>7.43993824E8</v>
      </c>
      <c r="E239" s="13" t="s">
        <v>234</v>
      </c>
      <c r="F239" s="26">
        <v>300000.0</v>
      </c>
      <c r="G239" s="26">
        <v>30.0</v>
      </c>
      <c r="H239" s="26">
        <f t="shared" si="1"/>
        <v>90000</v>
      </c>
      <c r="I239" s="26">
        <f t="shared" si="81"/>
        <v>390000</v>
      </c>
      <c r="J239" s="26">
        <f t="shared" si="82"/>
        <v>13000</v>
      </c>
      <c r="K239" s="30">
        <v>45780.0</v>
      </c>
      <c r="L239" s="29">
        <v>45811.0</v>
      </c>
      <c r="M239" s="13" t="str">
        <f t="shared" ref="M239:M291" si="83">IF(TODAY()&gt;L239,"Overdue", IF(I239=0, "Cleared", "Active"))</f>
        <v>Overdue</v>
      </c>
      <c r="N239" s="24"/>
      <c r="O239" s="24"/>
      <c r="P239" s="24"/>
      <c r="Q239" s="24"/>
      <c r="R239" s="24"/>
      <c r="S239" s="24"/>
      <c r="T239" s="24"/>
      <c r="U239" s="24"/>
    </row>
    <row r="240">
      <c r="A240" s="13" t="s">
        <v>558</v>
      </c>
      <c r="B240" s="14">
        <v>7.06988323E8</v>
      </c>
      <c r="C240" s="13" t="s">
        <v>450</v>
      </c>
      <c r="D240" s="14">
        <v>7.52641246E8</v>
      </c>
      <c r="E240" s="13" t="s">
        <v>198</v>
      </c>
      <c r="F240" s="26">
        <v>250000.0</v>
      </c>
      <c r="G240" s="26">
        <v>30.0</v>
      </c>
      <c r="H240" s="26">
        <f t="shared" si="1"/>
        <v>75000</v>
      </c>
      <c r="I240" s="26">
        <f t="shared" si="81"/>
        <v>325000</v>
      </c>
      <c r="J240" s="26">
        <f t="shared" si="82"/>
        <v>10800</v>
      </c>
      <c r="K240" s="29">
        <v>45720.0</v>
      </c>
      <c r="L240" s="29">
        <v>45751.0</v>
      </c>
      <c r="M240" s="13" t="str">
        <f t="shared" si="83"/>
        <v>Overdue</v>
      </c>
      <c r="N240" s="24"/>
      <c r="O240" s="24"/>
      <c r="P240" s="24"/>
      <c r="Q240" s="24"/>
      <c r="R240" s="24"/>
      <c r="S240" s="24"/>
      <c r="T240" s="24"/>
      <c r="U240" s="24"/>
    </row>
    <row r="241">
      <c r="A241" s="13" t="s">
        <v>559</v>
      </c>
      <c r="B241" s="14">
        <v>7.77236677E8</v>
      </c>
      <c r="C241" s="13" t="s">
        <v>560</v>
      </c>
      <c r="D241" s="14">
        <v>7.0511594E8</v>
      </c>
      <c r="E241" s="13" t="s">
        <v>26</v>
      </c>
      <c r="F241" s="26">
        <v>300000.0</v>
      </c>
      <c r="G241" s="26">
        <v>30.0</v>
      </c>
      <c r="H241" s="26">
        <f t="shared" si="1"/>
        <v>90000</v>
      </c>
      <c r="I241" s="26">
        <f t="shared" si="81"/>
        <v>390000</v>
      </c>
      <c r="J241" s="26">
        <f t="shared" si="82"/>
        <v>13000</v>
      </c>
      <c r="K241" s="29">
        <v>45762.0</v>
      </c>
      <c r="L241" s="30">
        <v>45792.0</v>
      </c>
      <c r="M241" s="13" t="str">
        <f t="shared" si="83"/>
        <v>Overdue</v>
      </c>
      <c r="N241" s="24"/>
      <c r="O241" s="24"/>
      <c r="P241" s="24"/>
      <c r="Q241" s="24"/>
      <c r="R241" s="24"/>
      <c r="S241" s="24"/>
      <c r="T241" s="24"/>
      <c r="U241" s="24"/>
    </row>
    <row r="242">
      <c r="A242" s="13" t="s">
        <v>561</v>
      </c>
      <c r="B242" s="14">
        <v>7.46254432E8</v>
      </c>
      <c r="C242" s="13" t="s">
        <v>562</v>
      </c>
      <c r="D242" s="14">
        <v>7.41105541E8</v>
      </c>
      <c r="E242" s="13" t="s">
        <v>23</v>
      </c>
      <c r="F242" s="26">
        <v>250000.0</v>
      </c>
      <c r="G242" s="26">
        <v>30.0</v>
      </c>
      <c r="H242" s="26">
        <f t="shared" si="1"/>
        <v>75000</v>
      </c>
      <c r="I242" s="26">
        <f t="shared" si="81"/>
        <v>325000</v>
      </c>
      <c r="J242" s="26">
        <f t="shared" si="82"/>
        <v>10800</v>
      </c>
      <c r="K242" s="29">
        <v>45722.0</v>
      </c>
      <c r="L242" s="29">
        <v>45753.0</v>
      </c>
      <c r="M242" s="13" t="str">
        <f t="shared" si="83"/>
        <v>Overdue</v>
      </c>
      <c r="N242" s="24"/>
      <c r="O242" s="24"/>
      <c r="P242" s="24"/>
      <c r="Q242" s="24"/>
      <c r="R242" s="24"/>
      <c r="S242" s="24"/>
      <c r="T242" s="24"/>
      <c r="U242" s="24"/>
    </row>
    <row r="243">
      <c r="A243" s="13" t="s">
        <v>563</v>
      </c>
      <c r="B243" s="14">
        <v>7.59768473E8</v>
      </c>
      <c r="C243" s="13" t="s">
        <v>564</v>
      </c>
      <c r="D243" s="14">
        <v>7.09631827E8</v>
      </c>
      <c r="E243" s="13" t="s">
        <v>26</v>
      </c>
      <c r="F243" s="26">
        <v>100000.0</v>
      </c>
      <c r="G243" s="26">
        <v>30.0</v>
      </c>
      <c r="H243" s="26">
        <f t="shared" si="1"/>
        <v>30000</v>
      </c>
      <c r="I243" s="26">
        <f t="shared" si="81"/>
        <v>130000</v>
      </c>
      <c r="J243" s="26">
        <f t="shared" si="82"/>
        <v>4300</v>
      </c>
      <c r="K243" s="29">
        <v>45762.0</v>
      </c>
      <c r="L243" s="30">
        <v>45792.0</v>
      </c>
      <c r="M243" s="13" t="str">
        <f t="shared" si="83"/>
        <v>Overdue</v>
      </c>
      <c r="N243" s="24"/>
      <c r="O243" s="24"/>
      <c r="P243" s="24"/>
      <c r="Q243" s="24"/>
      <c r="R243" s="24"/>
      <c r="S243" s="24"/>
      <c r="T243" s="24"/>
      <c r="U243" s="24"/>
    </row>
    <row r="244" ht="15.0" customHeight="1">
      <c r="A244" s="13" t="s">
        <v>565</v>
      </c>
      <c r="B244" s="14">
        <v>7.84737335E8</v>
      </c>
      <c r="C244" s="13" t="s">
        <v>566</v>
      </c>
      <c r="D244" s="14">
        <v>7.80408345E8</v>
      </c>
      <c r="E244" s="13" t="s">
        <v>26</v>
      </c>
      <c r="F244" s="26">
        <v>400000.0</v>
      </c>
      <c r="G244" s="26">
        <v>30.0</v>
      </c>
      <c r="H244" s="26">
        <f t="shared" si="1"/>
        <v>120000</v>
      </c>
      <c r="I244" s="26">
        <f t="shared" si="81"/>
        <v>520000</v>
      </c>
      <c r="J244" s="26">
        <f t="shared" si="82"/>
        <v>17300</v>
      </c>
      <c r="K244" s="29">
        <v>45771.0</v>
      </c>
      <c r="L244" s="30">
        <v>45801.0</v>
      </c>
      <c r="M244" s="13" t="str">
        <f t="shared" si="83"/>
        <v>Overdue</v>
      </c>
      <c r="N244" s="24"/>
      <c r="O244" s="24"/>
      <c r="P244" s="24"/>
      <c r="Q244" s="24"/>
      <c r="R244" s="24"/>
      <c r="S244" s="24"/>
      <c r="T244" s="24"/>
      <c r="U244" s="24"/>
    </row>
    <row r="245">
      <c r="A245" s="13" t="s">
        <v>567</v>
      </c>
      <c r="B245" s="26">
        <v>7.85129426E8</v>
      </c>
      <c r="C245" s="13" t="s">
        <v>568</v>
      </c>
      <c r="D245" s="26">
        <v>7.58974792E8</v>
      </c>
      <c r="E245" s="13" t="s">
        <v>408</v>
      </c>
      <c r="F245" s="26">
        <v>230000.0</v>
      </c>
      <c r="G245" s="26">
        <v>30.0</v>
      </c>
      <c r="H245" s="26">
        <f t="shared" si="1"/>
        <v>69000</v>
      </c>
      <c r="I245" s="26">
        <f t="shared" si="81"/>
        <v>299000</v>
      </c>
      <c r="J245" s="26">
        <f t="shared" si="82"/>
        <v>10000</v>
      </c>
      <c r="K245" s="29">
        <v>45773.0</v>
      </c>
      <c r="L245" s="30">
        <v>45803.0</v>
      </c>
      <c r="M245" s="13" t="str">
        <f t="shared" si="83"/>
        <v>Overdue</v>
      </c>
      <c r="N245" s="24"/>
      <c r="O245" s="24"/>
      <c r="P245" s="24"/>
      <c r="Q245" s="24"/>
      <c r="R245" s="24"/>
      <c r="S245" s="24"/>
      <c r="T245" s="24"/>
      <c r="U245" s="24"/>
    </row>
    <row r="246">
      <c r="A246" s="13" t="s">
        <v>569</v>
      </c>
      <c r="B246" s="14">
        <v>7.52645409E8</v>
      </c>
      <c r="C246" s="13" t="s">
        <v>295</v>
      </c>
      <c r="D246" s="62">
        <v>2.25001E12</v>
      </c>
      <c r="E246" s="13" t="s">
        <v>57</v>
      </c>
      <c r="F246" s="26">
        <v>86000.0</v>
      </c>
      <c r="G246" s="26">
        <v>30.0</v>
      </c>
      <c r="H246" s="26">
        <f t="shared" si="1"/>
        <v>25800</v>
      </c>
      <c r="I246" s="26">
        <f t="shared" si="81"/>
        <v>111800</v>
      </c>
      <c r="J246" s="26">
        <f t="shared" si="82"/>
        <v>3700</v>
      </c>
      <c r="K246" s="29">
        <v>45775.0</v>
      </c>
      <c r="L246" s="30">
        <v>45805.0</v>
      </c>
      <c r="M246" s="13" t="str">
        <f t="shared" si="83"/>
        <v>Overdue</v>
      </c>
      <c r="N246" s="24"/>
      <c r="O246" s="24"/>
      <c r="P246" s="24"/>
      <c r="Q246" s="24"/>
      <c r="R246" s="24"/>
      <c r="S246" s="24"/>
      <c r="T246" s="24"/>
      <c r="U246" s="24"/>
    </row>
    <row r="247" ht="16.5" hidden="1" customHeight="1">
      <c r="A247" s="35" t="s">
        <v>62</v>
      </c>
      <c r="B247" s="36">
        <v>7.69037562E8</v>
      </c>
      <c r="C247" s="35" t="s">
        <v>63</v>
      </c>
      <c r="D247" s="36">
        <v>7.05027272E8</v>
      </c>
      <c r="E247" s="35" t="s">
        <v>64</v>
      </c>
      <c r="F247" s="67">
        <v>200000.0</v>
      </c>
      <c r="G247" s="67">
        <v>30.0</v>
      </c>
      <c r="H247" s="37">
        <f t="shared" si="1"/>
        <v>60000</v>
      </c>
      <c r="I247" s="38">
        <v>260000.0</v>
      </c>
      <c r="J247" s="37">
        <f>I247/G247</f>
        <v>8666.666667</v>
      </c>
      <c r="K247" s="75">
        <v>45933.0</v>
      </c>
      <c r="L247" s="76">
        <v>45964.0</v>
      </c>
      <c r="M247" s="41" t="str">
        <f t="shared" si="83"/>
        <v>Active</v>
      </c>
      <c r="N247" s="42"/>
      <c r="O247" s="42"/>
      <c r="P247" s="42"/>
      <c r="Q247" s="42"/>
      <c r="R247" s="42"/>
      <c r="S247" s="42"/>
      <c r="T247" s="42"/>
      <c r="U247" s="42"/>
    </row>
    <row r="248">
      <c r="A248" s="3" t="s">
        <v>570</v>
      </c>
      <c r="B248" s="33">
        <v>7.89744745E8</v>
      </c>
      <c r="C248" s="3" t="s">
        <v>571</v>
      </c>
      <c r="D248" s="3" t="s">
        <v>572</v>
      </c>
      <c r="E248" s="3" t="s">
        <v>114</v>
      </c>
      <c r="F248" s="47">
        <v>400000.0</v>
      </c>
      <c r="G248" s="47">
        <v>30.0</v>
      </c>
      <c r="H248" s="26">
        <f t="shared" si="1"/>
        <v>120000</v>
      </c>
      <c r="I248" s="26">
        <f t="shared" ref="I248:I254" si="84">F248*(1+0.3)^(G248/30)</f>
        <v>520000</v>
      </c>
      <c r="J248" s="26">
        <f t="shared" ref="J248:J250" si="85">Round(I248/G248,-2)</f>
        <v>17300</v>
      </c>
      <c r="K248" s="30">
        <v>45798.0</v>
      </c>
      <c r="L248" s="29">
        <v>45829.0</v>
      </c>
      <c r="M248" s="13" t="str">
        <f t="shared" si="83"/>
        <v>Overdue</v>
      </c>
      <c r="N248" s="24"/>
      <c r="O248" s="24"/>
      <c r="P248" s="24"/>
      <c r="Q248" s="24"/>
      <c r="R248" s="24"/>
      <c r="S248" s="24"/>
      <c r="T248" s="24"/>
      <c r="U248" s="24"/>
    </row>
    <row r="249">
      <c r="A249" s="13" t="s">
        <v>573</v>
      </c>
      <c r="B249" s="14">
        <v>7.55427497E8</v>
      </c>
      <c r="C249" s="13" t="s">
        <v>574</v>
      </c>
      <c r="D249" s="14">
        <v>7.56513694E8</v>
      </c>
      <c r="E249" s="13" t="s">
        <v>575</v>
      </c>
      <c r="F249" s="26">
        <v>400000.0</v>
      </c>
      <c r="G249" s="26">
        <v>30.0</v>
      </c>
      <c r="H249" s="26">
        <f t="shared" si="1"/>
        <v>120000</v>
      </c>
      <c r="I249" s="26">
        <f t="shared" si="84"/>
        <v>520000</v>
      </c>
      <c r="J249" s="26">
        <f t="shared" si="85"/>
        <v>17300</v>
      </c>
      <c r="K249" s="29">
        <v>45773.0</v>
      </c>
      <c r="L249" s="30">
        <v>45803.0</v>
      </c>
      <c r="M249" s="13" t="str">
        <f t="shared" si="83"/>
        <v>Overdue</v>
      </c>
      <c r="N249" s="24"/>
      <c r="O249" s="24"/>
      <c r="P249" s="24"/>
      <c r="Q249" s="24"/>
      <c r="R249" s="24"/>
      <c r="S249" s="24"/>
      <c r="T249" s="24"/>
      <c r="U249" s="24"/>
    </row>
    <row r="250">
      <c r="A250" s="13" t="s">
        <v>576</v>
      </c>
      <c r="B250" s="14">
        <v>7.08773043E8</v>
      </c>
      <c r="C250" s="13" t="s">
        <v>577</v>
      </c>
      <c r="D250" s="14" t="s">
        <v>578</v>
      </c>
      <c r="E250" s="13" t="s">
        <v>26</v>
      </c>
      <c r="F250" s="25">
        <v>500000.0</v>
      </c>
      <c r="G250" s="26">
        <v>30.0</v>
      </c>
      <c r="H250" s="26">
        <f t="shared" si="1"/>
        <v>150000</v>
      </c>
      <c r="I250" s="26">
        <f t="shared" si="84"/>
        <v>650000</v>
      </c>
      <c r="J250" s="26">
        <f t="shared" si="85"/>
        <v>21700</v>
      </c>
      <c r="K250" s="30">
        <v>45811.0</v>
      </c>
      <c r="L250" s="29">
        <v>45864.0</v>
      </c>
      <c r="M250" s="13" t="str">
        <f t="shared" si="83"/>
        <v>Overdue</v>
      </c>
      <c r="N250" s="24"/>
      <c r="O250" s="24"/>
      <c r="P250" s="24"/>
      <c r="Q250" s="24"/>
      <c r="R250" s="24"/>
      <c r="S250" s="24"/>
      <c r="T250" s="24"/>
      <c r="U250" s="24"/>
    </row>
    <row r="251">
      <c r="A251" s="13" t="s">
        <v>579</v>
      </c>
      <c r="B251" s="14">
        <v>7.08385458E8</v>
      </c>
      <c r="C251" s="3"/>
      <c r="D251" s="3"/>
      <c r="E251" s="3"/>
      <c r="F251" s="26">
        <v>410000.0</v>
      </c>
      <c r="G251" s="14">
        <v>30.0</v>
      </c>
      <c r="H251" s="26">
        <f t="shared" si="1"/>
        <v>123000</v>
      </c>
      <c r="I251" s="26">
        <f t="shared" si="84"/>
        <v>533000</v>
      </c>
      <c r="J251" s="26">
        <f>I251/G251</f>
        <v>17766.66667</v>
      </c>
      <c r="K251" s="30">
        <v>45797.0</v>
      </c>
      <c r="L251" s="29">
        <v>45858.0</v>
      </c>
      <c r="M251" s="13" t="str">
        <f t="shared" si="83"/>
        <v>Overdue</v>
      </c>
      <c r="N251" s="24"/>
      <c r="O251" s="24"/>
      <c r="P251" s="24"/>
      <c r="Q251" s="24"/>
      <c r="R251" s="24"/>
      <c r="S251" s="24"/>
      <c r="T251" s="24"/>
      <c r="U251" s="24"/>
    </row>
    <row r="252">
      <c r="A252" s="13" t="s">
        <v>580</v>
      </c>
      <c r="B252" s="14">
        <v>7.50770914E8</v>
      </c>
      <c r="C252" s="13" t="s">
        <v>448</v>
      </c>
      <c r="D252" s="14">
        <v>7.02361377E8</v>
      </c>
      <c r="E252" s="13" t="s">
        <v>26</v>
      </c>
      <c r="F252" s="25">
        <v>776000.0</v>
      </c>
      <c r="G252" s="26">
        <v>60.0</v>
      </c>
      <c r="H252" s="26">
        <f t="shared" si="1"/>
        <v>535440</v>
      </c>
      <c r="I252" s="26">
        <f t="shared" si="84"/>
        <v>1311440</v>
      </c>
      <c r="J252" s="26">
        <f t="shared" ref="J252:J254" si="86">Round(I252/G252,-2)</f>
        <v>21900</v>
      </c>
      <c r="K252" s="29">
        <v>45763.0</v>
      </c>
      <c r="L252" s="29">
        <v>45823.0</v>
      </c>
      <c r="M252" s="13" t="str">
        <f t="shared" si="83"/>
        <v>Overdue</v>
      </c>
      <c r="N252" s="24"/>
      <c r="O252" s="24"/>
      <c r="P252" s="24"/>
      <c r="Q252" s="24"/>
      <c r="R252" s="24"/>
      <c r="S252" s="24"/>
      <c r="T252" s="24"/>
      <c r="U252" s="24"/>
    </row>
    <row r="253">
      <c r="A253" s="43" t="s">
        <v>581</v>
      </c>
      <c r="B253" s="43" t="s">
        <v>582</v>
      </c>
      <c r="C253" s="43" t="s">
        <v>583</v>
      </c>
      <c r="D253" s="44">
        <v>7.77616269E8</v>
      </c>
      <c r="E253" s="43" t="s">
        <v>57</v>
      </c>
      <c r="F253" s="31">
        <v>260000.0</v>
      </c>
      <c r="G253" s="31">
        <v>30.0</v>
      </c>
      <c r="H253" s="31">
        <f t="shared" si="1"/>
        <v>78000</v>
      </c>
      <c r="I253" s="31">
        <f t="shared" si="84"/>
        <v>338000</v>
      </c>
      <c r="J253" s="31">
        <f t="shared" si="86"/>
        <v>11300</v>
      </c>
      <c r="K253" s="46">
        <v>46003.0</v>
      </c>
      <c r="L253" s="46">
        <v>45669.0</v>
      </c>
      <c r="M253" s="43" t="str">
        <f t="shared" si="83"/>
        <v>Overdue</v>
      </c>
      <c r="N253" s="24"/>
      <c r="O253" s="24"/>
      <c r="P253" s="24"/>
      <c r="Q253" s="24"/>
      <c r="R253" s="24"/>
      <c r="S253" s="24"/>
      <c r="T253" s="24"/>
      <c r="U253" s="24"/>
    </row>
    <row r="254">
      <c r="A254" s="13" t="s">
        <v>584</v>
      </c>
      <c r="B254" s="26">
        <v>7.86323161E8</v>
      </c>
      <c r="C254" s="13" t="s">
        <v>585</v>
      </c>
      <c r="D254" s="26">
        <v>7.5819287E8</v>
      </c>
      <c r="E254" s="13" t="s">
        <v>217</v>
      </c>
      <c r="F254" s="26">
        <v>130000.0</v>
      </c>
      <c r="G254" s="14">
        <v>30.0</v>
      </c>
      <c r="H254" s="26">
        <f t="shared" si="1"/>
        <v>39000</v>
      </c>
      <c r="I254" s="26">
        <f t="shared" si="84"/>
        <v>169000</v>
      </c>
      <c r="J254" s="26">
        <f t="shared" si="86"/>
        <v>5600</v>
      </c>
      <c r="K254" s="30">
        <v>45780.0</v>
      </c>
      <c r="L254" s="29">
        <v>45811.0</v>
      </c>
      <c r="M254" s="13" t="str">
        <f t="shared" si="83"/>
        <v>Overdue</v>
      </c>
      <c r="N254" s="24"/>
      <c r="O254" s="24"/>
      <c r="P254" s="24"/>
      <c r="Q254" s="24"/>
      <c r="R254" s="24"/>
      <c r="S254" s="24"/>
      <c r="T254" s="24"/>
      <c r="U254" s="24"/>
    </row>
    <row r="255">
      <c r="A255" s="13" t="s">
        <v>586</v>
      </c>
      <c r="B255" s="14">
        <v>7.07435077E8</v>
      </c>
      <c r="C255" s="13" t="s">
        <v>17</v>
      </c>
      <c r="D255" s="26">
        <v>7.42884112E8</v>
      </c>
      <c r="E255" s="13" t="s">
        <v>234</v>
      </c>
      <c r="F255" s="25">
        <v>250000.0</v>
      </c>
      <c r="G255" s="26">
        <v>30.0</v>
      </c>
      <c r="H255" s="26">
        <f t="shared" si="1"/>
        <v>75000</v>
      </c>
      <c r="I255" s="31">
        <f>F255*(1+0.3)^(G255/30)+20000</f>
        <v>345000</v>
      </c>
      <c r="J255" s="26">
        <f>I255/G255</f>
        <v>11500</v>
      </c>
      <c r="K255" s="27">
        <v>45897.0</v>
      </c>
      <c r="L255" s="27">
        <v>45928.0</v>
      </c>
      <c r="M255" s="13" t="str">
        <f t="shared" si="83"/>
        <v>Overdue</v>
      </c>
      <c r="N255" s="24"/>
      <c r="O255" s="24"/>
      <c r="P255" s="24"/>
      <c r="Q255" s="24"/>
      <c r="R255" s="24"/>
      <c r="S255" s="24"/>
      <c r="T255" s="24"/>
      <c r="U255" s="24"/>
    </row>
    <row r="256">
      <c r="A256" s="13" t="s">
        <v>587</v>
      </c>
      <c r="B256" s="14">
        <v>7.48805116E8</v>
      </c>
      <c r="C256" s="13" t="s">
        <v>588</v>
      </c>
      <c r="D256" s="14">
        <v>7.55986233E8</v>
      </c>
      <c r="E256" s="13" t="s">
        <v>26</v>
      </c>
      <c r="F256" s="26">
        <v>300000.0</v>
      </c>
      <c r="G256" s="26">
        <v>30.0</v>
      </c>
      <c r="H256" s="26">
        <f t="shared" si="1"/>
        <v>90000</v>
      </c>
      <c r="I256" s="26">
        <f t="shared" ref="I256:I263" si="87">F256*(1+0.3)^(G256/30)</f>
        <v>390000</v>
      </c>
      <c r="J256" s="26">
        <f t="shared" ref="J256:J258" si="88">Round(I256/G256,-2)</f>
        <v>13000</v>
      </c>
      <c r="K256" s="29">
        <v>45771.0</v>
      </c>
      <c r="L256" s="30">
        <v>45801.0</v>
      </c>
      <c r="M256" s="13" t="str">
        <f t="shared" si="83"/>
        <v>Overdue</v>
      </c>
      <c r="N256" s="24"/>
      <c r="O256" s="24"/>
      <c r="P256" s="24"/>
      <c r="Q256" s="24"/>
      <c r="R256" s="24"/>
      <c r="S256" s="24"/>
      <c r="T256" s="24"/>
      <c r="U256" s="24"/>
    </row>
    <row r="257">
      <c r="A257" s="13" t="s">
        <v>589</v>
      </c>
      <c r="B257" s="14">
        <v>7.81799276E8</v>
      </c>
      <c r="C257" s="13" t="s">
        <v>590</v>
      </c>
      <c r="D257" s="14">
        <v>7.8444278E8</v>
      </c>
      <c r="E257" s="13" t="s">
        <v>114</v>
      </c>
      <c r="F257" s="25">
        <v>600000.0</v>
      </c>
      <c r="G257" s="26">
        <v>30.0</v>
      </c>
      <c r="H257" s="26">
        <f t="shared" si="1"/>
        <v>180000</v>
      </c>
      <c r="I257" s="26">
        <f t="shared" si="87"/>
        <v>780000</v>
      </c>
      <c r="J257" s="26">
        <f t="shared" si="88"/>
        <v>26000</v>
      </c>
      <c r="K257" s="29">
        <v>45762.0</v>
      </c>
      <c r="L257" s="29">
        <v>45823.0</v>
      </c>
      <c r="M257" s="13" t="str">
        <f t="shared" si="83"/>
        <v>Overdue</v>
      </c>
      <c r="N257" s="24"/>
      <c r="O257" s="24"/>
      <c r="P257" s="24"/>
      <c r="Q257" s="24"/>
      <c r="R257" s="24"/>
      <c r="S257" s="24"/>
      <c r="T257" s="24"/>
      <c r="U257" s="24"/>
    </row>
    <row r="258">
      <c r="A258" s="3" t="s">
        <v>591</v>
      </c>
      <c r="B258" s="47">
        <v>7.50551215E8</v>
      </c>
      <c r="C258" s="3" t="s">
        <v>592</v>
      </c>
      <c r="D258" s="47">
        <v>7.53040829E8</v>
      </c>
      <c r="E258" s="3" t="s">
        <v>593</v>
      </c>
      <c r="F258" s="33">
        <v>180000.0</v>
      </c>
      <c r="G258" s="33">
        <v>30.0</v>
      </c>
      <c r="H258" s="26">
        <f t="shared" si="1"/>
        <v>54000</v>
      </c>
      <c r="I258" s="26">
        <f t="shared" si="87"/>
        <v>234000</v>
      </c>
      <c r="J258" s="26">
        <f t="shared" si="88"/>
        <v>7800</v>
      </c>
      <c r="K258" s="30">
        <v>45798.0</v>
      </c>
      <c r="L258" s="29">
        <v>45829.0</v>
      </c>
      <c r="M258" s="13" t="str">
        <f t="shared" si="83"/>
        <v>Overdue</v>
      </c>
      <c r="N258" s="24"/>
      <c r="O258" s="24"/>
      <c r="P258" s="24"/>
      <c r="Q258" s="24"/>
      <c r="R258" s="24"/>
      <c r="S258" s="24"/>
      <c r="T258" s="24"/>
      <c r="U258" s="24"/>
    </row>
    <row r="259">
      <c r="A259" s="3" t="s">
        <v>594</v>
      </c>
      <c r="B259" s="33">
        <v>7.58623502E8</v>
      </c>
      <c r="C259" s="3" t="s">
        <v>595</v>
      </c>
      <c r="D259" s="33">
        <v>7.00174969E8</v>
      </c>
      <c r="E259" s="3" t="s">
        <v>596</v>
      </c>
      <c r="F259" s="48">
        <v>800000.0</v>
      </c>
      <c r="G259" s="48">
        <v>30.0</v>
      </c>
      <c r="H259" s="26">
        <f t="shared" si="1"/>
        <v>240000</v>
      </c>
      <c r="I259" s="26">
        <f t="shared" si="87"/>
        <v>1040000</v>
      </c>
      <c r="J259" s="26">
        <f t="shared" ref="J259:J260" si="89">I259/G259</f>
        <v>34666.66667</v>
      </c>
      <c r="K259" s="30">
        <v>45801.0</v>
      </c>
      <c r="L259" s="29">
        <v>45860.0</v>
      </c>
      <c r="M259" s="13" t="str">
        <f t="shared" si="83"/>
        <v>Overdue</v>
      </c>
      <c r="N259" s="24"/>
      <c r="O259" s="24"/>
      <c r="P259" s="24"/>
      <c r="Q259" s="24"/>
      <c r="R259" s="24"/>
      <c r="S259" s="24"/>
      <c r="T259" s="24"/>
      <c r="U259" s="24"/>
    </row>
    <row r="260">
      <c r="A260" s="3" t="s">
        <v>597</v>
      </c>
      <c r="B260" s="33">
        <v>7.88814781E8</v>
      </c>
      <c r="C260" s="3" t="s">
        <v>598</v>
      </c>
      <c r="D260" s="47">
        <v>7.455957822E9</v>
      </c>
      <c r="E260" s="3" t="s">
        <v>385</v>
      </c>
      <c r="F260" s="47">
        <v>300000.0</v>
      </c>
      <c r="G260" s="47">
        <v>60.0</v>
      </c>
      <c r="H260" s="26">
        <f t="shared" si="1"/>
        <v>207000</v>
      </c>
      <c r="I260" s="26">
        <f t="shared" si="87"/>
        <v>507000</v>
      </c>
      <c r="J260" s="26">
        <f t="shared" si="89"/>
        <v>8450</v>
      </c>
      <c r="K260" s="28" t="s">
        <v>599</v>
      </c>
      <c r="L260" s="30">
        <v>45888.0</v>
      </c>
      <c r="M260" s="13" t="str">
        <f t="shared" si="83"/>
        <v>Overdue</v>
      </c>
      <c r="N260" s="24"/>
      <c r="O260" s="24"/>
      <c r="P260" s="24"/>
      <c r="Q260" s="24"/>
      <c r="R260" s="24"/>
      <c r="S260" s="24"/>
      <c r="T260" s="24"/>
      <c r="U260" s="24"/>
    </row>
    <row r="261">
      <c r="A261" s="13" t="s">
        <v>600</v>
      </c>
      <c r="B261" s="14">
        <v>7.40530455E8</v>
      </c>
      <c r="C261" s="13" t="s">
        <v>601</v>
      </c>
      <c r="D261" s="14">
        <v>7.5807941E8</v>
      </c>
      <c r="E261" s="13" t="s">
        <v>328</v>
      </c>
      <c r="F261" s="26">
        <v>250000.0</v>
      </c>
      <c r="G261" s="14">
        <v>30.0</v>
      </c>
      <c r="H261" s="26">
        <f t="shared" si="1"/>
        <v>75000</v>
      </c>
      <c r="I261" s="26">
        <f t="shared" si="87"/>
        <v>325000</v>
      </c>
      <c r="J261" s="26">
        <f t="shared" ref="J261:J274" si="90">Round(I261/G261,-2)</f>
        <v>10800</v>
      </c>
      <c r="K261" s="29">
        <v>45773.0</v>
      </c>
      <c r="L261" s="30">
        <v>45803.0</v>
      </c>
      <c r="M261" s="13" t="str">
        <f t="shared" si="83"/>
        <v>Overdue</v>
      </c>
      <c r="N261" s="24"/>
      <c r="O261" s="24"/>
      <c r="P261" s="24"/>
      <c r="Q261" s="24"/>
      <c r="R261" s="24"/>
      <c r="S261" s="24"/>
      <c r="T261" s="24"/>
      <c r="U261" s="24"/>
    </row>
    <row r="262">
      <c r="A262" s="13" t="s">
        <v>602</v>
      </c>
      <c r="B262" s="14">
        <v>7.44608584E8</v>
      </c>
      <c r="C262" s="13" t="s">
        <v>603</v>
      </c>
      <c r="D262" s="14">
        <v>7.72541264E8</v>
      </c>
      <c r="E262" s="13" t="s">
        <v>45</v>
      </c>
      <c r="F262" s="25">
        <v>253000.0</v>
      </c>
      <c r="G262" s="26">
        <v>30.0</v>
      </c>
      <c r="H262" s="26">
        <f t="shared" si="1"/>
        <v>75900</v>
      </c>
      <c r="I262" s="26">
        <f t="shared" si="87"/>
        <v>328900</v>
      </c>
      <c r="J262" s="26">
        <f t="shared" si="90"/>
        <v>11000</v>
      </c>
      <c r="K262" s="27">
        <v>45884.0</v>
      </c>
      <c r="L262" s="32">
        <v>45915.0</v>
      </c>
      <c r="M262" s="13" t="str">
        <f t="shared" si="83"/>
        <v>Overdue</v>
      </c>
      <c r="N262" s="24"/>
      <c r="O262" s="24"/>
      <c r="P262" s="24"/>
      <c r="Q262" s="24"/>
      <c r="R262" s="24"/>
      <c r="S262" s="24"/>
      <c r="T262" s="24"/>
      <c r="U262" s="24"/>
    </row>
    <row r="263">
      <c r="A263" s="13" t="s">
        <v>604</v>
      </c>
      <c r="B263" s="14">
        <v>7.70411665E8</v>
      </c>
      <c r="C263" s="13" t="s">
        <v>605</v>
      </c>
      <c r="D263" s="14">
        <v>7.86120767E8</v>
      </c>
      <c r="E263" s="13" t="s">
        <v>57</v>
      </c>
      <c r="F263" s="26">
        <v>120000.0</v>
      </c>
      <c r="G263" s="26">
        <v>30.0</v>
      </c>
      <c r="H263" s="26">
        <f t="shared" si="1"/>
        <v>36000</v>
      </c>
      <c r="I263" s="26">
        <f t="shared" si="87"/>
        <v>156000</v>
      </c>
      <c r="J263" s="26">
        <f t="shared" si="90"/>
        <v>5200</v>
      </c>
      <c r="K263" s="29">
        <v>45695.0</v>
      </c>
      <c r="L263" s="29">
        <v>45724.0</v>
      </c>
      <c r="M263" s="13" t="str">
        <f t="shared" si="83"/>
        <v>Overdue</v>
      </c>
      <c r="N263" s="24"/>
      <c r="O263" s="24"/>
      <c r="P263" s="24"/>
      <c r="Q263" s="24"/>
      <c r="R263" s="24"/>
      <c r="S263" s="24"/>
      <c r="T263" s="24"/>
      <c r="U263" s="24"/>
    </row>
    <row r="264">
      <c r="A264" s="66" t="s">
        <v>606</v>
      </c>
      <c r="B264" s="44">
        <v>7.00104134E8</v>
      </c>
      <c r="C264" s="43" t="s">
        <v>607</v>
      </c>
      <c r="D264" s="44">
        <v>7.74785837E8</v>
      </c>
      <c r="E264" s="43" t="s">
        <v>45</v>
      </c>
      <c r="F264" s="22">
        <v>300000.0</v>
      </c>
      <c r="G264" s="31">
        <v>30.0</v>
      </c>
      <c r="H264" s="31">
        <f t="shared" si="1"/>
        <v>90000</v>
      </c>
      <c r="I264" s="31">
        <f>F264*(1+0.3)^(G264/30)+20000</f>
        <v>410000</v>
      </c>
      <c r="J264" s="31">
        <f t="shared" si="90"/>
        <v>13700</v>
      </c>
      <c r="K264" s="53">
        <v>45852.0</v>
      </c>
      <c r="L264" s="52">
        <v>45883.0</v>
      </c>
      <c r="M264" s="43" t="str">
        <f t="shared" si="83"/>
        <v>Overdue</v>
      </c>
      <c r="N264" s="24"/>
      <c r="O264" s="24"/>
      <c r="P264" s="24"/>
      <c r="Q264" s="24"/>
      <c r="R264" s="24"/>
      <c r="S264" s="24"/>
      <c r="T264" s="24"/>
      <c r="U264" s="24"/>
    </row>
    <row r="265">
      <c r="A265" s="13" t="s">
        <v>608</v>
      </c>
      <c r="B265" s="13" t="s">
        <v>609</v>
      </c>
      <c r="C265" s="13" t="s">
        <v>610</v>
      </c>
      <c r="D265" s="26">
        <v>7.44547545E8</v>
      </c>
      <c r="E265" s="13" t="s">
        <v>234</v>
      </c>
      <c r="F265" s="26">
        <v>200000.0</v>
      </c>
      <c r="G265" s="26">
        <v>30.0</v>
      </c>
      <c r="H265" s="26">
        <f t="shared" si="1"/>
        <v>60000</v>
      </c>
      <c r="I265" s="26">
        <f t="shared" ref="I265:I276" si="91">F265*(1+0.3)^(G265/30)</f>
        <v>260000</v>
      </c>
      <c r="J265" s="26">
        <f t="shared" si="90"/>
        <v>8700</v>
      </c>
      <c r="K265" s="29">
        <v>45665.0</v>
      </c>
      <c r="L265" s="29">
        <v>45724.0</v>
      </c>
      <c r="M265" s="13" t="str">
        <f t="shared" si="83"/>
        <v>Overdue</v>
      </c>
      <c r="N265" s="24"/>
      <c r="O265" s="24"/>
      <c r="P265" s="24"/>
      <c r="Q265" s="24"/>
      <c r="R265" s="24"/>
      <c r="S265" s="24"/>
      <c r="T265" s="24"/>
      <c r="U265" s="24"/>
    </row>
    <row r="266">
      <c r="A266" s="13" t="s">
        <v>611</v>
      </c>
      <c r="B266" s="13" t="s">
        <v>612</v>
      </c>
      <c r="C266" s="13" t="s">
        <v>613</v>
      </c>
      <c r="D266" s="14">
        <v>7.04470551E8</v>
      </c>
      <c r="E266" s="13" t="s">
        <v>57</v>
      </c>
      <c r="F266" s="26">
        <v>200000.0</v>
      </c>
      <c r="G266" s="26">
        <v>30.0</v>
      </c>
      <c r="H266" s="26">
        <f t="shared" si="1"/>
        <v>60000</v>
      </c>
      <c r="I266" s="26">
        <f t="shared" si="91"/>
        <v>260000</v>
      </c>
      <c r="J266" s="26">
        <f t="shared" si="90"/>
        <v>8700</v>
      </c>
      <c r="K266" s="29">
        <v>45678.0</v>
      </c>
      <c r="L266" s="29">
        <v>45709.0</v>
      </c>
      <c r="M266" s="13" t="str">
        <f t="shared" si="83"/>
        <v>Overdue</v>
      </c>
      <c r="N266" s="24"/>
      <c r="O266" s="24"/>
      <c r="P266" s="24"/>
      <c r="Q266" s="24"/>
      <c r="R266" s="24"/>
      <c r="S266" s="24"/>
      <c r="T266" s="24"/>
      <c r="U266" s="24"/>
    </row>
    <row r="267">
      <c r="A267" s="13" t="s">
        <v>614</v>
      </c>
      <c r="B267" s="14">
        <v>7.56547741E8</v>
      </c>
      <c r="C267" s="13" t="s">
        <v>615</v>
      </c>
      <c r="D267" s="14">
        <v>7.76968349E8</v>
      </c>
      <c r="E267" s="13" t="s">
        <v>26</v>
      </c>
      <c r="F267" s="26">
        <v>400000.0</v>
      </c>
      <c r="G267" s="26">
        <v>30.0</v>
      </c>
      <c r="H267" s="26">
        <f t="shared" si="1"/>
        <v>120000</v>
      </c>
      <c r="I267" s="26">
        <f t="shared" si="91"/>
        <v>520000</v>
      </c>
      <c r="J267" s="26">
        <f t="shared" si="90"/>
        <v>17300</v>
      </c>
      <c r="K267" s="29">
        <v>45762.0</v>
      </c>
      <c r="L267" s="30">
        <v>45792.0</v>
      </c>
      <c r="M267" s="13" t="str">
        <f t="shared" si="83"/>
        <v>Overdue</v>
      </c>
      <c r="N267" s="24"/>
      <c r="O267" s="24"/>
      <c r="P267" s="24"/>
      <c r="Q267" s="24"/>
      <c r="R267" s="24"/>
      <c r="S267" s="24"/>
      <c r="T267" s="24"/>
      <c r="U267" s="24"/>
    </row>
    <row r="268">
      <c r="A268" s="43" t="s">
        <v>616</v>
      </c>
      <c r="B268" s="44">
        <v>7.0525333E8</v>
      </c>
      <c r="C268" s="43" t="s">
        <v>377</v>
      </c>
      <c r="D268" s="44">
        <v>7.51250037E8</v>
      </c>
      <c r="E268" s="43" t="s">
        <v>60</v>
      </c>
      <c r="F268" s="31">
        <v>160000.0</v>
      </c>
      <c r="G268" s="31">
        <v>30.0</v>
      </c>
      <c r="H268" s="31">
        <f t="shared" si="1"/>
        <v>48000</v>
      </c>
      <c r="I268" s="31">
        <f t="shared" si="91"/>
        <v>208000</v>
      </c>
      <c r="J268" s="31">
        <f t="shared" si="90"/>
        <v>6900</v>
      </c>
      <c r="K268" s="46">
        <v>46002.0</v>
      </c>
      <c r="L268" s="46">
        <v>45699.0</v>
      </c>
      <c r="M268" s="43" t="str">
        <f t="shared" si="83"/>
        <v>Overdue</v>
      </c>
      <c r="N268" s="24"/>
      <c r="O268" s="24"/>
      <c r="P268" s="24"/>
      <c r="Q268" s="24"/>
      <c r="R268" s="24"/>
      <c r="S268" s="24"/>
      <c r="T268" s="24"/>
      <c r="U268" s="24"/>
    </row>
    <row r="269">
      <c r="A269" s="13" t="s">
        <v>617</v>
      </c>
      <c r="B269" s="13" t="s">
        <v>618</v>
      </c>
      <c r="C269" s="13" t="s">
        <v>289</v>
      </c>
      <c r="D269" s="14">
        <v>7.56316521E8</v>
      </c>
      <c r="E269" s="13" t="s">
        <v>5</v>
      </c>
      <c r="F269" s="26">
        <v>60000.0</v>
      </c>
      <c r="G269" s="14">
        <v>30.0</v>
      </c>
      <c r="H269" s="26">
        <f t="shared" si="1"/>
        <v>18000</v>
      </c>
      <c r="I269" s="26">
        <f t="shared" si="91"/>
        <v>78000</v>
      </c>
      <c r="J269" s="26">
        <f t="shared" si="90"/>
        <v>2600</v>
      </c>
      <c r="K269" s="29">
        <v>45679.0</v>
      </c>
      <c r="L269" s="29">
        <v>45710.0</v>
      </c>
      <c r="M269" s="13" t="str">
        <f t="shared" si="83"/>
        <v>Overdue</v>
      </c>
      <c r="N269" s="24"/>
      <c r="O269" s="24"/>
      <c r="P269" s="24"/>
      <c r="Q269" s="24"/>
      <c r="R269" s="24"/>
      <c r="S269" s="24"/>
      <c r="T269" s="24"/>
      <c r="U269" s="24"/>
    </row>
    <row r="270">
      <c r="A270" s="13" t="s">
        <v>619</v>
      </c>
      <c r="B270" s="14">
        <v>7.56640734E8</v>
      </c>
      <c r="C270" s="13" t="s">
        <v>620</v>
      </c>
      <c r="D270" s="14">
        <v>7.44228119E8</v>
      </c>
      <c r="E270" s="13" t="s">
        <v>26</v>
      </c>
      <c r="F270" s="26">
        <v>400000.0</v>
      </c>
      <c r="G270" s="26">
        <v>30.0</v>
      </c>
      <c r="H270" s="26">
        <f t="shared" si="1"/>
        <v>120000</v>
      </c>
      <c r="I270" s="26">
        <f t="shared" si="91"/>
        <v>520000</v>
      </c>
      <c r="J270" s="26">
        <f t="shared" si="90"/>
        <v>17300</v>
      </c>
      <c r="K270" s="29">
        <v>45763.0</v>
      </c>
      <c r="L270" s="30">
        <v>45793.0</v>
      </c>
      <c r="M270" s="13" t="str">
        <f t="shared" si="83"/>
        <v>Overdue</v>
      </c>
      <c r="N270" s="24"/>
      <c r="O270" s="24"/>
      <c r="P270" s="24"/>
      <c r="Q270" s="24"/>
      <c r="R270" s="24"/>
      <c r="S270" s="24"/>
      <c r="T270" s="24"/>
      <c r="U270" s="24"/>
    </row>
    <row r="271">
      <c r="A271" s="13" t="s">
        <v>621</v>
      </c>
      <c r="B271" s="14">
        <v>7.02808555E8</v>
      </c>
      <c r="C271" s="13" t="s">
        <v>622</v>
      </c>
      <c r="D271" s="14">
        <v>7.5318276E8</v>
      </c>
      <c r="E271" s="13" t="s">
        <v>5</v>
      </c>
      <c r="F271" s="26">
        <v>160000.0</v>
      </c>
      <c r="G271" s="26">
        <v>30.0</v>
      </c>
      <c r="H271" s="26">
        <f t="shared" si="1"/>
        <v>48000</v>
      </c>
      <c r="I271" s="26">
        <f t="shared" si="91"/>
        <v>208000</v>
      </c>
      <c r="J271" s="26">
        <f t="shared" si="90"/>
        <v>6900</v>
      </c>
      <c r="K271" s="29">
        <v>45698.0</v>
      </c>
      <c r="L271" s="29">
        <v>45757.0</v>
      </c>
      <c r="M271" s="13" t="str">
        <f t="shared" si="83"/>
        <v>Overdue</v>
      </c>
      <c r="N271" s="56"/>
      <c r="O271" s="56"/>
      <c r="P271" s="56"/>
      <c r="Q271" s="56"/>
      <c r="R271" s="56"/>
      <c r="S271" s="56"/>
      <c r="T271" s="56"/>
      <c r="U271" s="56"/>
    </row>
    <row r="272">
      <c r="A272" s="3" t="s">
        <v>623</v>
      </c>
      <c r="B272" s="33">
        <v>7.50333725E8</v>
      </c>
      <c r="C272" s="3" t="s">
        <v>624</v>
      </c>
      <c r="D272" s="33">
        <v>7.05767704E8</v>
      </c>
      <c r="E272" s="3" t="s">
        <v>26</v>
      </c>
      <c r="F272" s="33">
        <v>300000.0</v>
      </c>
      <c r="G272" s="47">
        <v>30.0</v>
      </c>
      <c r="H272" s="26">
        <f t="shared" si="1"/>
        <v>90000</v>
      </c>
      <c r="I272" s="26">
        <f t="shared" si="91"/>
        <v>390000</v>
      </c>
      <c r="J272" s="26">
        <f t="shared" si="90"/>
        <v>13000</v>
      </c>
      <c r="K272" s="30">
        <v>45798.0</v>
      </c>
      <c r="L272" s="29">
        <v>45829.0</v>
      </c>
      <c r="M272" s="13" t="str">
        <f t="shared" si="83"/>
        <v>Overdue</v>
      </c>
      <c r="N272" s="24"/>
      <c r="O272" s="24"/>
      <c r="P272" s="24"/>
      <c r="Q272" s="24"/>
      <c r="R272" s="24"/>
      <c r="S272" s="24"/>
      <c r="T272" s="24"/>
      <c r="U272" s="24"/>
    </row>
    <row r="273">
      <c r="A273" s="13" t="s">
        <v>625</v>
      </c>
      <c r="B273" s="14">
        <v>7.08999618E8</v>
      </c>
      <c r="C273" s="13" t="s">
        <v>77</v>
      </c>
      <c r="D273" s="14">
        <v>7.51612906E8</v>
      </c>
      <c r="E273" s="13" t="s">
        <v>5</v>
      </c>
      <c r="F273" s="25">
        <v>1500000.0</v>
      </c>
      <c r="G273" s="28">
        <v>180.0</v>
      </c>
      <c r="H273" s="26">
        <f t="shared" si="1"/>
        <v>5740213.5</v>
      </c>
      <c r="I273" s="26">
        <f t="shared" si="91"/>
        <v>7240213.5</v>
      </c>
      <c r="J273" s="26">
        <f t="shared" si="90"/>
        <v>40200</v>
      </c>
      <c r="K273" s="29">
        <v>47150.0</v>
      </c>
      <c r="L273" s="29">
        <v>45717.0</v>
      </c>
      <c r="M273" s="13" t="str">
        <f t="shared" si="83"/>
        <v>Overdue</v>
      </c>
      <c r="N273" s="24"/>
      <c r="O273" s="24"/>
      <c r="P273" s="24"/>
      <c r="Q273" s="24"/>
      <c r="R273" s="24"/>
      <c r="S273" s="24"/>
      <c r="T273" s="24"/>
      <c r="U273" s="24"/>
    </row>
    <row r="274">
      <c r="A274" s="13" t="s">
        <v>626</v>
      </c>
      <c r="B274" s="14">
        <v>7.47229478E8</v>
      </c>
      <c r="C274" s="13" t="s">
        <v>627</v>
      </c>
      <c r="D274" s="14">
        <v>7.47232577E8</v>
      </c>
      <c r="E274" s="13" t="s">
        <v>26</v>
      </c>
      <c r="F274" s="26">
        <v>400000.0</v>
      </c>
      <c r="G274" s="26">
        <v>60.0</v>
      </c>
      <c r="H274" s="26">
        <f t="shared" si="1"/>
        <v>276000</v>
      </c>
      <c r="I274" s="26">
        <f t="shared" si="91"/>
        <v>676000</v>
      </c>
      <c r="J274" s="26">
        <f t="shared" si="90"/>
        <v>11300</v>
      </c>
      <c r="K274" s="29">
        <v>45773.0</v>
      </c>
      <c r="L274" s="77" t="s">
        <v>628</v>
      </c>
      <c r="M274" s="13" t="str">
        <f t="shared" si="83"/>
        <v>Overdue</v>
      </c>
      <c r="N274" s="24"/>
      <c r="O274" s="24"/>
      <c r="P274" s="24"/>
      <c r="Q274" s="24"/>
      <c r="R274" s="24"/>
      <c r="S274" s="24"/>
      <c r="T274" s="24"/>
      <c r="U274" s="24"/>
    </row>
    <row r="275">
      <c r="A275" s="3" t="s">
        <v>629</v>
      </c>
      <c r="B275" s="33">
        <v>7.64674133E8</v>
      </c>
      <c r="C275" s="3" t="s">
        <v>630</v>
      </c>
      <c r="D275" s="33">
        <v>7.55950397E8</v>
      </c>
      <c r="E275" s="50" t="s">
        <v>408</v>
      </c>
      <c r="F275" s="47">
        <v>300000.0</v>
      </c>
      <c r="G275" s="33">
        <v>30.0</v>
      </c>
      <c r="H275" s="26">
        <f t="shared" si="1"/>
        <v>90000</v>
      </c>
      <c r="I275" s="26">
        <f t="shared" si="91"/>
        <v>390000</v>
      </c>
      <c r="J275" s="26">
        <f>I275/G275</f>
        <v>13000</v>
      </c>
      <c r="K275" s="29">
        <v>45814.0</v>
      </c>
      <c r="L275" s="30">
        <v>45844.0</v>
      </c>
      <c r="M275" s="13" t="str">
        <f t="shared" si="83"/>
        <v>Overdue</v>
      </c>
      <c r="N275" s="24"/>
      <c r="O275" s="24"/>
      <c r="P275" s="24"/>
      <c r="Q275" s="24"/>
      <c r="R275" s="24"/>
      <c r="S275" s="24"/>
      <c r="T275" s="24"/>
      <c r="U275" s="24"/>
    </row>
    <row r="276">
      <c r="A276" s="41" t="s">
        <v>76</v>
      </c>
      <c r="B276" s="49">
        <v>7.41904737E8</v>
      </c>
      <c r="C276" s="41" t="s">
        <v>77</v>
      </c>
      <c r="D276" s="49">
        <v>7.51612906E8</v>
      </c>
      <c r="E276" s="41" t="s">
        <v>5</v>
      </c>
      <c r="F276" s="37">
        <v>60000.0</v>
      </c>
      <c r="G276" s="49">
        <v>30.0</v>
      </c>
      <c r="H276" s="37">
        <f t="shared" si="1"/>
        <v>18000</v>
      </c>
      <c r="I276" s="37">
        <f t="shared" si="91"/>
        <v>78000</v>
      </c>
      <c r="J276" s="37">
        <f>Round(I276/G276,-2)</f>
        <v>2600</v>
      </c>
      <c r="K276" s="40">
        <v>45692.0</v>
      </c>
      <c r="L276" s="40">
        <v>45720.0</v>
      </c>
      <c r="M276" s="41" t="str">
        <f t="shared" si="83"/>
        <v>Overdue</v>
      </c>
      <c r="N276" s="42"/>
      <c r="O276" s="42"/>
      <c r="P276" s="42"/>
      <c r="Q276" s="42"/>
      <c r="R276" s="42"/>
      <c r="S276" s="42"/>
      <c r="T276" s="42"/>
      <c r="U276" s="42"/>
    </row>
    <row r="277">
      <c r="A277" s="60" t="s">
        <v>631</v>
      </c>
      <c r="B277" s="14">
        <v>7.42735009E8</v>
      </c>
      <c r="C277" s="3"/>
      <c r="D277" s="14">
        <v>7.42000365E8</v>
      </c>
      <c r="E277" s="13" t="s">
        <v>26</v>
      </c>
      <c r="F277" s="26">
        <v>360000.0</v>
      </c>
      <c r="G277" s="26">
        <v>90.0</v>
      </c>
      <c r="H277" s="26">
        <f t="shared" si="1"/>
        <v>430920</v>
      </c>
      <c r="I277" s="25">
        <v>1046000.0</v>
      </c>
      <c r="J277" s="26">
        <f>I277/G277</f>
        <v>11622.22222</v>
      </c>
      <c r="K277" s="29">
        <v>45762.0</v>
      </c>
      <c r="L277" s="29">
        <v>45853.0</v>
      </c>
      <c r="M277" s="13" t="str">
        <f t="shared" si="83"/>
        <v>Overdue</v>
      </c>
      <c r="N277" s="24"/>
      <c r="O277" s="24"/>
      <c r="P277" s="24"/>
      <c r="Q277" s="24"/>
      <c r="R277" s="24"/>
      <c r="S277" s="24"/>
      <c r="T277" s="24"/>
      <c r="U277" s="24"/>
    </row>
    <row r="278">
      <c r="A278" s="13" t="s">
        <v>632</v>
      </c>
      <c r="B278" s="14">
        <v>7.40266584E8</v>
      </c>
      <c r="C278" s="13" t="s">
        <v>633</v>
      </c>
      <c r="D278" s="14" t="s">
        <v>634</v>
      </c>
      <c r="E278" s="13" t="s">
        <v>60</v>
      </c>
      <c r="F278" s="26">
        <v>200000.0</v>
      </c>
      <c r="G278" s="26">
        <v>30.0</v>
      </c>
      <c r="H278" s="26">
        <f t="shared" si="1"/>
        <v>60000</v>
      </c>
      <c r="I278" s="26">
        <f t="shared" ref="I278:I305" si="92">F278*(1+0.3)^(G278/30)</f>
        <v>260000</v>
      </c>
      <c r="J278" s="26">
        <f t="shared" ref="J278:J283" si="93">Round(I278/G278,-2)</f>
        <v>8700</v>
      </c>
      <c r="K278" s="29">
        <v>45773.0</v>
      </c>
      <c r="L278" s="30">
        <v>45803.0</v>
      </c>
      <c r="M278" s="13" t="str">
        <f t="shared" si="83"/>
        <v>Overdue</v>
      </c>
      <c r="N278" s="24"/>
      <c r="O278" s="24"/>
      <c r="P278" s="24"/>
      <c r="Q278" s="24"/>
      <c r="R278" s="24"/>
      <c r="S278" s="24"/>
      <c r="T278" s="24"/>
      <c r="U278" s="24"/>
    </row>
    <row r="279">
      <c r="A279" s="13" t="s">
        <v>635</v>
      </c>
      <c r="B279" s="14">
        <v>7.60276464E8</v>
      </c>
      <c r="C279" s="3"/>
      <c r="D279" s="3"/>
      <c r="E279" s="13" t="s">
        <v>320</v>
      </c>
      <c r="F279" s="26">
        <v>260000.0</v>
      </c>
      <c r="G279" s="26">
        <v>30.0</v>
      </c>
      <c r="H279" s="26">
        <f t="shared" si="1"/>
        <v>78000</v>
      </c>
      <c r="I279" s="26">
        <f t="shared" si="92"/>
        <v>338000</v>
      </c>
      <c r="J279" s="26">
        <f t="shared" si="93"/>
        <v>11300</v>
      </c>
      <c r="K279" s="29">
        <v>45764.0</v>
      </c>
      <c r="L279" s="30">
        <v>45794.0</v>
      </c>
      <c r="M279" s="13" t="str">
        <f t="shared" si="83"/>
        <v>Overdue</v>
      </c>
      <c r="N279" s="24"/>
      <c r="O279" s="24"/>
      <c r="P279" s="24"/>
      <c r="Q279" s="24"/>
      <c r="R279" s="24"/>
      <c r="S279" s="24"/>
      <c r="T279" s="24"/>
      <c r="U279" s="24"/>
    </row>
    <row r="280">
      <c r="A280" s="13" t="s">
        <v>636</v>
      </c>
      <c r="B280" s="13" t="s">
        <v>637</v>
      </c>
      <c r="C280" s="13" t="s">
        <v>59</v>
      </c>
      <c r="D280" s="14">
        <v>7.01856117E8</v>
      </c>
      <c r="E280" s="13" t="s">
        <v>60</v>
      </c>
      <c r="F280" s="26">
        <v>240000.0</v>
      </c>
      <c r="G280" s="25">
        <v>30.0</v>
      </c>
      <c r="H280" s="26">
        <f t="shared" si="1"/>
        <v>72000</v>
      </c>
      <c r="I280" s="26">
        <f t="shared" si="92"/>
        <v>312000</v>
      </c>
      <c r="J280" s="26">
        <f t="shared" si="93"/>
        <v>10400</v>
      </c>
      <c r="K280" s="29">
        <v>45742.0</v>
      </c>
      <c r="L280" s="29">
        <v>45773.0</v>
      </c>
      <c r="M280" s="13" t="str">
        <f t="shared" si="83"/>
        <v>Overdue</v>
      </c>
      <c r="N280" s="24"/>
      <c r="O280" s="24"/>
      <c r="P280" s="24"/>
      <c r="Q280" s="24"/>
      <c r="R280" s="24"/>
      <c r="S280" s="24"/>
      <c r="T280" s="24"/>
      <c r="U280" s="24"/>
    </row>
    <row r="281">
      <c r="A281" s="13" t="s">
        <v>638</v>
      </c>
      <c r="B281" s="14">
        <v>7.03090804E8</v>
      </c>
      <c r="C281" s="13" t="s">
        <v>639</v>
      </c>
      <c r="D281" s="14">
        <v>7.0800866E8</v>
      </c>
      <c r="E281" s="13" t="s">
        <v>114</v>
      </c>
      <c r="F281" s="26">
        <v>200000.0</v>
      </c>
      <c r="G281" s="26">
        <v>30.0</v>
      </c>
      <c r="H281" s="26">
        <f t="shared" si="1"/>
        <v>60000</v>
      </c>
      <c r="I281" s="26">
        <f t="shared" si="92"/>
        <v>260000</v>
      </c>
      <c r="J281" s="26">
        <f t="shared" si="93"/>
        <v>8700</v>
      </c>
      <c r="K281" s="30">
        <v>45790.0</v>
      </c>
      <c r="L281" s="29">
        <v>45821.0</v>
      </c>
      <c r="M281" s="13" t="str">
        <f t="shared" si="83"/>
        <v>Overdue</v>
      </c>
      <c r="N281" s="24"/>
      <c r="O281" s="24"/>
      <c r="P281" s="24"/>
      <c r="Q281" s="24"/>
      <c r="R281" s="24"/>
      <c r="S281" s="24"/>
      <c r="T281" s="24"/>
      <c r="U281" s="24"/>
    </row>
    <row r="282">
      <c r="A282" s="13" t="s">
        <v>640</v>
      </c>
      <c r="B282" s="14">
        <v>7.08299209E8</v>
      </c>
      <c r="C282" s="13" t="s">
        <v>641</v>
      </c>
      <c r="D282" s="14">
        <v>7.02743596E8</v>
      </c>
      <c r="E282" s="13" t="s">
        <v>45</v>
      </c>
      <c r="F282" s="26">
        <v>150000.0</v>
      </c>
      <c r="G282" s="26">
        <v>30.0</v>
      </c>
      <c r="H282" s="26">
        <f t="shared" si="1"/>
        <v>45000</v>
      </c>
      <c r="I282" s="26">
        <f t="shared" si="92"/>
        <v>195000</v>
      </c>
      <c r="J282" s="26">
        <f t="shared" si="93"/>
        <v>6500</v>
      </c>
      <c r="K282" s="29">
        <v>45762.0</v>
      </c>
      <c r="L282" s="30">
        <v>45792.0</v>
      </c>
      <c r="M282" s="13" t="str">
        <f t="shared" si="83"/>
        <v>Overdue</v>
      </c>
      <c r="N282" s="24"/>
      <c r="O282" s="24"/>
      <c r="P282" s="24"/>
      <c r="Q282" s="24"/>
      <c r="R282" s="24"/>
      <c r="S282" s="24"/>
      <c r="T282" s="24"/>
      <c r="U282" s="24"/>
    </row>
    <row r="283">
      <c r="A283" s="13" t="s">
        <v>642</v>
      </c>
      <c r="B283" s="14">
        <v>7.02349443E8</v>
      </c>
      <c r="C283" s="13" t="s">
        <v>643</v>
      </c>
      <c r="D283" s="14">
        <v>7.77564237E8</v>
      </c>
      <c r="E283" s="13" t="s">
        <v>57</v>
      </c>
      <c r="F283" s="26">
        <v>110000.0</v>
      </c>
      <c r="G283" s="26">
        <v>30.0</v>
      </c>
      <c r="H283" s="26">
        <f t="shared" si="1"/>
        <v>33000</v>
      </c>
      <c r="I283" s="26">
        <f t="shared" si="92"/>
        <v>143000</v>
      </c>
      <c r="J283" s="26">
        <f t="shared" si="93"/>
        <v>4800</v>
      </c>
      <c r="K283" s="29">
        <v>45706.0</v>
      </c>
      <c r="L283" s="29">
        <v>45735.0</v>
      </c>
      <c r="M283" s="13" t="str">
        <f t="shared" si="83"/>
        <v>Overdue</v>
      </c>
      <c r="N283" s="24"/>
      <c r="O283" s="24"/>
      <c r="P283" s="24"/>
      <c r="Q283" s="24"/>
      <c r="R283" s="24"/>
      <c r="S283" s="24"/>
      <c r="T283" s="24"/>
      <c r="U283" s="24"/>
    </row>
    <row r="284">
      <c r="A284" s="13" t="s">
        <v>644</v>
      </c>
      <c r="B284" s="26">
        <v>7.09766698E8</v>
      </c>
      <c r="C284" s="13" t="s">
        <v>645</v>
      </c>
      <c r="D284" s="14">
        <v>7.00453186E8</v>
      </c>
      <c r="E284" s="13" t="s">
        <v>646</v>
      </c>
      <c r="F284" s="25">
        <v>260000.0</v>
      </c>
      <c r="G284" s="14">
        <v>60.0</v>
      </c>
      <c r="H284" s="26">
        <f t="shared" si="1"/>
        <v>179400</v>
      </c>
      <c r="I284" s="26">
        <f t="shared" si="92"/>
        <v>439400</v>
      </c>
      <c r="J284" s="26">
        <f>I284/G284</f>
        <v>7323.333333</v>
      </c>
      <c r="K284" s="29">
        <v>45811.0</v>
      </c>
      <c r="L284" s="30">
        <v>45872.0</v>
      </c>
      <c r="M284" s="13" t="str">
        <f t="shared" si="83"/>
        <v>Overdue</v>
      </c>
      <c r="N284" s="24"/>
      <c r="O284" s="24"/>
      <c r="P284" s="24"/>
      <c r="Q284" s="24"/>
      <c r="R284" s="24"/>
      <c r="S284" s="24"/>
      <c r="T284" s="24"/>
      <c r="U284" s="24"/>
    </row>
    <row r="285">
      <c r="A285" s="13" t="s">
        <v>647</v>
      </c>
      <c r="B285" s="14">
        <v>7.86270506E8</v>
      </c>
      <c r="C285" s="13" t="s">
        <v>532</v>
      </c>
      <c r="D285" s="14">
        <v>7.77729382E8</v>
      </c>
      <c r="E285" s="13" t="s">
        <v>114</v>
      </c>
      <c r="F285" s="26">
        <v>400000.0</v>
      </c>
      <c r="G285" s="26">
        <v>30.0</v>
      </c>
      <c r="H285" s="26">
        <f t="shared" si="1"/>
        <v>120000</v>
      </c>
      <c r="I285" s="26">
        <f t="shared" si="92"/>
        <v>520000</v>
      </c>
      <c r="J285" s="26">
        <f t="shared" ref="J285:J286" si="94">Round(I285/G285,-2)</f>
        <v>17300</v>
      </c>
      <c r="K285" s="29">
        <v>45762.0</v>
      </c>
      <c r="L285" s="29">
        <v>45823.0</v>
      </c>
      <c r="M285" s="13" t="str">
        <f t="shared" si="83"/>
        <v>Overdue</v>
      </c>
      <c r="N285" s="24"/>
      <c r="O285" s="24"/>
      <c r="P285" s="24"/>
      <c r="Q285" s="24"/>
      <c r="R285" s="24"/>
      <c r="S285" s="24"/>
      <c r="T285" s="24"/>
      <c r="U285" s="24"/>
    </row>
    <row r="286">
      <c r="A286" s="13" t="s">
        <v>648</v>
      </c>
      <c r="B286" s="14">
        <v>7.78578761E8</v>
      </c>
      <c r="C286" s="13" t="s">
        <v>649</v>
      </c>
      <c r="D286" s="14">
        <v>7.47229478E8</v>
      </c>
      <c r="E286" s="13" t="s">
        <v>26</v>
      </c>
      <c r="F286" s="26">
        <v>300000.0</v>
      </c>
      <c r="G286" s="26">
        <v>30.0</v>
      </c>
      <c r="H286" s="26">
        <f t="shared" si="1"/>
        <v>90000</v>
      </c>
      <c r="I286" s="26">
        <f t="shared" si="92"/>
        <v>390000</v>
      </c>
      <c r="J286" s="26">
        <f t="shared" si="94"/>
        <v>13000</v>
      </c>
      <c r="K286" s="29">
        <v>45762.0</v>
      </c>
      <c r="L286" s="30">
        <v>45792.0</v>
      </c>
      <c r="M286" s="13" t="str">
        <f t="shared" si="83"/>
        <v>Overdue</v>
      </c>
      <c r="N286" s="24"/>
      <c r="O286" s="24"/>
      <c r="P286" s="24"/>
      <c r="Q286" s="24"/>
      <c r="R286" s="24"/>
      <c r="S286" s="24"/>
      <c r="T286" s="24"/>
      <c r="U286" s="24"/>
    </row>
    <row r="287">
      <c r="A287" s="3" t="s">
        <v>650</v>
      </c>
      <c r="B287" s="33">
        <v>7.01888577E8</v>
      </c>
      <c r="C287" s="3" t="s">
        <v>651</v>
      </c>
      <c r="D287" s="33">
        <v>7.43806239E8</v>
      </c>
      <c r="E287" s="3" t="s">
        <v>482</v>
      </c>
      <c r="F287" s="25">
        <v>600000.0</v>
      </c>
      <c r="G287" s="25">
        <v>60.0</v>
      </c>
      <c r="H287" s="26">
        <f t="shared" si="1"/>
        <v>414000</v>
      </c>
      <c r="I287" s="26">
        <f t="shared" si="92"/>
        <v>1014000</v>
      </c>
      <c r="J287" s="26">
        <f>I287/G287</f>
        <v>16900</v>
      </c>
      <c r="K287" s="78">
        <v>45901.0</v>
      </c>
      <c r="L287" s="78">
        <v>45962.0</v>
      </c>
      <c r="M287" s="13" t="str">
        <f t="shared" si="83"/>
        <v>Active</v>
      </c>
      <c r="N287" s="24"/>
      <c r="O287" s="24"/>
      <c r="P287" s="24"/>
      <c r="Q287" s="24"/>
      <c r="R287" s="24"/>
      <c r="S287" s="24"/>
      <c r="T287" s="24"/>
      <c r="U287" s="24"/>
    </row>
    <row r="288">
      <c r="A288" s="13" t="s">
        <v>652</v>
      </c>
      <c r="B288" s="14">
        <v>7.4516103E8</v>
      </c>
      <c r="C288" s="13" t="s">
        <v>653</v>
      </c>
      <c r="D288" s="14">
        <v>7.08215368E8</v>
      </c>
      <c r="E288" s="13" t="s">
        <v>57</v>
      </c>
      <c r="F288" s="26">
        <v>80000.0</v>
      </c>
      <c r="G288" s="26">
        <v>30.0</v>
      </c>
      <c r="H288" s="26">
        <f t="shared" si="1"/>
        <v>24000</v>
      </c>
      <c r="I288" s="26">
        <f t="shared" si="92"/>
        <v>104000</v>
      </c>
      <c r="J288" s="26">
        <f t="shared" ref="J288:J290" si="95">Round(I288/G288,-2)</f>
        <v>3500</v>
      </c>
      <c r="K288" s="29">
        <v>45728.0</v>
      </c>
      <c r="L288" s="29">
        <v>45759.0</v>
      </c>
      <c r="M288" s="13" t="str">
        <f t="shared" si="83"/>
        <v>Overdue</v>
      </c>
      <c r="N288" s="24"/>
      <c r="O288" s="24"/>
      <c r="P288" s="24"/>
      <c r="Q288" s="24"/>
      <c r="R288" s="24"/>
      <c r="S288" s="24"/>
      <c r="T288" s="24"/>
      <c r="U288" s="24"/>
    </row>
    <row r="289">
      <c r="A289" s="13" t="s">
        <v>654</v>
      </c>
      <c r="B289" s="14">
        <v>7.06118995E8</v>
      </c>
      <c r="C289" s="13" t="s">
        <v>655</v>
      </c>
      <c r="D289" s="14">
        <v>7.04690932E8</v>
      </c>
      <c r="E289" s="13" t="s">
        <v>5</v>
      </c>
      <c r="F289" s="26">
        <v>100000.0</v>
      </c>
      <c r="G289" s="26">
        <v>60.0</v>
      </c>
      <c r="H289" s="26">
        <f t="shared" si="1"/>
        <v>69000</v>
      </c>
      <c r="I289" s="26">
        <f t="shared" si="92"/>
        <v>169000</v>
      </c>
      <c r="J289" s="26">
        <f t="shared" si="95"/>
        <v>2800</v>
      </c>
      <c r="K289" s="29">
        <v>45736.0</v>
      </c>
      <c r="L289" s="30">
        <v>45797.0</v>
      </c>
      <c r="M289" s="13" t="str">
        <f t="shared" si="83"/>
        <v>Overdue</v>
      </c>
      <c r="N289" s="24"/>
      <c r="O289" s="24"/>
      <c r="P289" s="24"/>
      <c r="Q289" s="24"/>
      <c r="R289" s="24"/>
      <c r="S289" s="24"/>
      <c r="T289" s="24"/>
      <c r="U289" s="24"/>
    </row>
    <row r="290">
      <c r="A290" s="13" t="s">
        <v>656</v>
      </c>
      <c r="B290" s="13" t="s">
        <v>657</v>
      </c>
      <c r="C290" s="13" t="s">
        <v>658</v>
      </c>
      <c r="D290" s="14">
        <v>7.4220703E8</v>
      </c>
      <c r="E290" s="13" t="s">
        <v>5</v>
      </c>
      <c r="F290" s="26">
        <v>260000.0</v>
      </c>
      <c r="G290" s="14">
        <v>30.0</v>
      </c>
      <c r="H290" s="26">
        <f t="shared" si="1"/>
        <v>78000</v>
      </c>
      <c r="I290" s="26">
        <f t="shared" si="92"/>
        <v>338000</v>
      </c>
      <c r="J290" s="26">
        <f t="shared" si="95"/>
        <v>11300</v>
      </c>
      <c r="K290" s="29">
        <v>45697.0</v>
      </c>
      <c r="L290" s="29">
        <v>45757.0</v>
      </c>
      <c r="M290" s="13" t="str">
        <f t="shared" si="83"/>
        <v>Overdue</v>
      </c>
      <c r="N290" s="24"/>
      <c r="O290" s="24"/>
      <c r="P290" s="24"/>
      <c r="Q290" s="24"/>
      <c r="R290" s="24"/>
      <c r="S290" s="24"/>
      <c r="T290" s="24"/>
      <c r="U290" s="24"/>
    </row>
    <row r="291">
      <c r="A291" s="13" t="s">
        <v>659</v>
      </c>
      <c r="B291" s="25">
        <v>7.56167104E8</v>
      </c>
      <c r="C291" s="13" t="s">
        <v>660</v>
      </c>
      <c r="D291" s="28">
        <v>7.79348028E8</v>
      </c>
      <c r="E291" s="13" t="s">
        <v>661</v>
      </c>
      <c r="F291" s="25">
        <v>1000000.0</v>
      </c>
      <c r="G291" s="28">
        <v>30.0</v>
      </c>
      <c r="H291" s="26">
        <f t="shared" si="1"/>
        <v>300000</v>
      </c>
      <c r="I291" s="26">
        <f t="shared" si="92"/>
        <v>1300000</v>
      </c>
      <c r="J291" s="26">
        <f t="shared" ref="J291:J292" si="96">I291/G291</f>
        <v>43333.33333</v>
      </c>
      <c r="K291" s="28" t="s">
        <v>662</v>
      </c>
      <c r="L291" s="27">
        <v>45933.0</v>
      </c>
      <c r="M291" s="13" t="str">
        <f t="shared" si="83"/>
        <v>Overdue</v>
      </c>
      <c r="N291" s="24"/>
      <c r="O291" s="24"/>
      <c r="P291" s="24"/>
      <c r="Q291" s="24"/>
      <c r="R291" s="24"/>
      <c r="S291" s="24"/>
      <c r="T291" s="24"/>
      <c r="U291" s="24"/>
    </row>
    <row r="292" hidden="1">
      <c r="A292" s="13" t="s">
        <v>14</v>
      </c>
      <c r="B292" s="14">
        <v>7.57437046E8</v>
      </c>
      <c r="C292" s="13" t="s">
        <v>15</v>
      </c>
      <c r="D292" s="26">
        <v>7.01889945E8</v>
      </c>
      <c r="E292" s="13" t="s">
        <v>16</v>
      </c>
      <c r="F292" s="25">
        <v>1000000.0</v>
      </c>
      <c r="G292" s="26">
        <v>30.0</v>
      </c>
      <c r="H292" s="26">
        <f t="shared" si="1"/>
        <v>300000</v>
      </c>
      <c r="I292" s="26">
        <f t="shared" si="92"/>
        <v>1300000</v>
      </c>
      <c r="J292" s="26">
        <f t="shared" si="96"/>
        <v>43333.33333</v>
      </c>
      <c r="K292" s="79">
        <v>45944.0</v>
      </c>
      <c r="L292" s="79">
        <v>45975.0</v>
      </c>
      <c r="M292" s="13" t="s">
        <v>361</v>
      </c>
      <c r="N292" s="24"/>
      <c r="O292" s="24"/>
      <c r="P292" s="24"/>
      <c r="Q292" s="24"/>
      <c r="R292" s="24"/>
      <c r="S292" s="24"/>
      <c r="T292" s="24"/>
      <c r="U292" s="24"/>
    </row>
    <row r="293">
      <c r="A293" s="13" t="s">
        <v>663</v>
      </c>
      <c r="B293" s="14">
        <v>7.09762103E8</v>
      </c>
      <c r="C293" s="13" t="s">
        <v>664</v>
      </c>
      <c r="D293" s="14">
        <v>7.00196471E8</v>
      </c>
      <c r="E293" s="13" t="s">
        <v>54</v>
      </c>
      <c r="F293" s="25">
        <v>80000.0</v>
      </c>
      <c r="G293" s="26">
        <v>30.0</v>
      </c>
      <c r="H293" s="26">
        <f t="shared" si="1"/>
        <v>24000</v>
      </c>
      <c r="I293" s="26">
        <f t="shared" si="92"/>
        <v>104000</v>
      </c>
      <c r="J293" s="26">
        <f t="shared" ref="J293:J296" si="97">Round(I293/G293,-2)</f>
        <v>3500</v>
      </c>
      <c r="K293" s="29">
        <v>45763.0</v>
      </c>
      <c r="L293" s="30">
        <v>45428.0</v>
      </c>
      <c r="M293" s="13" t="str">
        <f t="shared" ref="M293:M322" si="98">IF(TODAY()&gt;L293,"Overdue", IF(I293=0, "Cleared", "Active"))</f>
        <v>Overdue</v>
      </c>
      <c r="N293" s="24"/>
      <c r="O293" s="24"/>
      <c r="P293" s="24"/>
      <c r="Q293" s="24"/>
      <c r="R293" s="24"/>
      <c r="S293" s="24"/>
      <c r="T293" s="24"/>
      <c r="U293" s="24"/>
    </row>
    <row r="294">
      <c r="A294" s="13" t="s">
        <v>665</v>
      </c>
      <c r="B294" s="26">
        <v>7.07212422E8</v>
      </c>
      <c r="C294" s="13" t="s">
        <v>666</v>
      </c>
      <c r="D294" s="26">
        <v>7.4103147E8</v>
      </c>
      <c r="E294" s="13" t="s">
        <v>502</v>
      </c>
      <c r="F294" s="26">
        <v>60000.0</v>
      </c>
      <c r="G294" s="26">
        <v>30.0</v>
      </c>
      <c r="H294" s="26">
        <f t="shared" si="1"/>
        <v>18000</v>
      </c>
      <c r="I294" s="26">
        <f t="shared" si="92"/>
        <v>78000</v>
      </c>
      <c r="J294" s="26">
        <f t="shared" si="97"/>
        <v>2600</v>
      </c>
      <c r="K294" s="29">
        <v>45744.0</v>
      </c>
      <c r="L294" s="29">
        <v>45775.0</v>
      </c>
      <c r="M294" s="13" t="str">
        <f t="shared" si="98"/>
        <v>Overdue</v>
      </c>
      <c r="N294" s="24"/>
      <c r="O294" s="24"/>
      <c r="P294" s="24"/>
      <c r="Q294" s="24"/>
      <c r="R294" s="24"/>
      <c r="S294" s="24"/>
      <c r="T294" s="24"/>
      <c r="U294" s="24"/>
    </row>
    <row r="295" hidden="1">
      <c r="A295" s="43" t="s">
        <v>667</v>
      </c>
      <c r="B295" s="44">
        <v>7.52080242E8</v>
      </c>
      <c r="C295" s="43" t="s">
        <v>668</v>
      </c>
      <c r="D295" s="44">
        <v>7.05455757E8</v>
      </c>
      <c r="E295" s="43" t="s">
        <v>26</v>
      </c>
      <c r="F295" s="22">
        <v>200000.0</v>
      </c>
      <c r="G295" s="31">
        <v>30.0</v>
      </c>
      <c r="H295" s="31">
        <f t="shared" si="1"/>
        <v>60000</v>
      </c>
      <c r="I295" s="31">
        <f t="shared" si="92"/>
        <v>260000</v>
      </c>
      <c r="J295" s="31">
        <f t="shared" si="97"/>
        <v>8700</v>
      </c>
      <c r="K295" s="53">
        <v>45937.0</v>
      </c>
      <c r="L295" s="53">
        <v>45968.0</v>
      </c>
      <c r="M295" s="43" t="str">
        <f t="shared" si="98"/>
        <v>Active</v>
      </c>
      <c r="N295" s="24"/>
      <c r="O295" s="24"/>
      <c r="P295" s="24"/>
      <c r="Q295" s="24"/>
      <c r="R295" s="24"/>
      <c r="S295" s="24"/>
      <c r="T295" s="24"/>
      <c r="U295" s="24"/>
    </row>
    <row r="296">
      <c r="A296" s="13" t="s">
        <v>669</v>
      </c>
      <c r="B296" s="14">
        <v>7.09250988E8</v>
      </c>
      <c r="C296" s="13" t="s">
        <v>670</v>
      </c>
      <c r="D296" s="14">
        <v>7.59678473E8</v>
      </c>
      <c r="E296" s="13" t="s">
        <v>26</v>
      </c>
      <c r="F296" s="26">
        <v>130000.0</v>
      </c>
      <c r="G296" s="26">
        <v>30.0</v>
      </c>
      <c r="H296" s="26">
        <f t="shared" si="1"/>
        <v>39000</v>
      </c>
      <c r="I296" s="26">
        <f t="shared" si="92"/>
        <v>169000</v>
      </c>
      <c r="J296" s="26">
        <f t="shared" si="97"/>
        <v>5600</v>
      </c>
      <c r="K296" s="29">
        <v>45762.0</v>
      </c>
      <c r="L296" s="30">
        <v>45792.0</v>
      </c>
      <c r="M296" s="13" t="str">
        <f t="shared" si="98"/>
        <v>Overdue</v>
      </c>
      <c r="N296" s="24"/>
      <c r="O296" s="24"/>
      <c r="P296" s="24"/>
      <c r="Q296" s="24"/>
      <c r="R296" s="24"/>
      <c r="S296" s="24"/>
      <c r="T296" s="24"/>
      <c r="U296" s="24"/>
    </row>
    <row r="297">
      <c r="A297" s="13" t="s">
        <v>671</v>
      </c>
      <c r="B297" s="14">
        <v>7.54524425E8</v>
      </c>
      <c r="C297" s="3"/>
      <c r="D297" s="3"/>
      <c r="E297" s="13" t="s">
        <v>26</v>
      </c>
      <c r="F297" s="26">
        <v>390000.0</v>
      </c>
      <c r="G297" s="26">
        <v>90.0</v>
      </c>
      <c r="H297" s="26">
        <f t="shared" si="1"/>
        <v>466830</v>
      </c>
      <c r="I297" s="26">
        <f t="shared" si="92"/>
        <v>856830</v>
      </c>
      <c r="J297" s="26">
        <f>I297/G297</f>
        <v>9520.333333</v>
      </c>
      <c r="K297" s="29">
        <v>45800.0</v>
      </c>
      <c r="L297" s="29">
        <v>45892.0</v>
      </c>
      <c r="M297" s="13" t="str">
        <f t="shared" si="98"/>
        <v>Overdue</v>
      </c>
      <c r="N297" s="24"/>
      <c r="O297" s="24"/>
      <c r="P297" s="24"/>
      <c r="Q297" s="24"/>
      <c r="R297" s="24"/>
      <c r="S297" s="24"/>
      <c r="T297" s="24"/>
      <c r="U297" s="24"/>
    </row>
    <row r="298">
      <c r="A298" s="13" t="s">
        <v>672</v>
      </c>
      <c r="B298" s="14">
        <v>7.50387273E8</v>
      </c>
      <c r="C298" s="13" t="s">
        <v>673</v>
      </c>
      <c r="D298" s="14">
        <v>7.45537731E8</v>
      </c>
      <c r="E298" s="13" t="s">
        <v>5</v>
      </c>
      <c r="F298" s="26">
        <v>120000.0</v>
      </c>
      <c r="G298" s="14">
        <v>30.0</v>
      </c>
      <c r="H298" s="26">
        <f t="shared" si="1"/>
        <v>36000</v>
      </c>
      <c r="I298" s="26">
        <f t="shared" si="92"/>
        <v>156000</v>
      </c>
      <c r="J298" s="26">
        <f t="shared" ref="J298:J300" si="99">Round(I298/G298,-2)</f>
        <v>5200</v>
      </c>
      <c r="K298" s="30">
        <v>45790.0</v>
      </c>
      <c r="L298" s="29">
        <v>45821.0</v>
      </c>
      <c r="M298" s="13" t="str">
        <f t="shared" si="98"/>
        <v>Overdue</v>
      </c>
      <c r="N298" s="24"/>
      <c r="O298" s="24"/>
      <c r="P298" s="24"/>
      <c r="Q298" s="24"/>
      <c r="R298" s="24"/>
      <c r="S298" s="24"/>
      <c r="T298" s="24"/>
      <c r="U298" s="24"/>
    </row>
    <row r="299">
      <c r="A299" s="13" t="s">
        <v>674</v>
      </c>
      <c r="B299" s="14">
        <v>7.04462039E8</v>
      </c>
      <c r="C299" s="13" t="s">
        <v>675</v>
      </c>
      <c r="D299" s="3"/>
      <c r="E299" s="13" t="s">
        <v>128</v>
      </c>
      <c r="F299" s="26">
        <v>80000.0</v>
      </c>
      <c r="G299" s="26">
        <v>30.0</v>
      </c>
      <c r="H299" s="26">
        <f t="shared" si="1"/>
        <v>24000</v>
      </c>
      <c r="I299" s="26">
        <f t="shared" si="92"/>
        <v>104000</v>
      </c>
      <c r="J299" s="26">
        <f t="shared" si="99"/>
        <v>3500</v>
      </c>
      <c r="K299" s="29">
        <v>45693.0</v>
      </c>
      <c r="L299" s="29">
        <v>45723.0</v>
      </c>
      <c r="M299" s="13" t="str">
        <f t="shared" si="98"/>
        <v>Overdue</v>
      </c>
      <c r="N299" s="24"/>
      <c r="O299" s="24"/>
      <c r="P299" s="24"/>
      <c r="Q299" s="24"/>
      <c r="R299" s="24"/>
      <c r="S299" s="24"/>
      <c r="T299" s="24"/>
      <c r="U299" s="24"/>
    </row>
    <row r="300">
      <c r="A300" s="13" t="s">
        <v>676</v>
      </c>
      <c r="B300" s="14">
        <v>7.08098261E8</v>
      </c>
      <c r="C300" s="13" t="s">
        <v>356</v>
      </c>
      <c r="D300" s="26">
        <v>7.78312791E8</v>
      </c>
      <c r="E300" s="13" t="s">
        <v>234</v>
      </c>
      <c r="F300" s="26">
        <v>120000.0</v>
      </c>
      <c r="G300" s="26">
        <v>30.0</v>
      </c>
      <c r="H300" s="26">
        <f t="shared" si="1"/>
        <v>36000</v>
      </c>
      <c r="I300" s="26">
        <f t="shared" si="92"/>
        <v>156000</v>
      </c>
      <c r="J300" s="26">
        <f t="shared" si="99"/>
        <v>5200</v>
      </c>
      <c r="K300" s="29">
        <v>45752.0</v>
      </c>
      <c r="L300" s="30">
        <v>45782.0</v>
      </c>
      <c r="M300" s="13" t="str">
        <f t="shared" si="98"/>
        <v>Overdue</v>
      </c>
      <c r="N300" s="24"/>
      <c r="O300" s="24"/>
      <c r="P300" s="24"/>
      <c r="Q300" s="24"/>
      <c r="R300" s="24"/>
      <c r="S300" s="24"/>
      <c r="T300" s="24"/>
      <c r="U300" s="24"/>
    </row>
    <row r="301">
      <c r="A301" s="13" t="s">
        <v>677</v>
      </c>
      <c r="B301" s="14">
        <v>7.5471514E8</v>
      </c>
      <c r="C301" s="13" t="s">
        <v>678</v>
      </c>
      <c r="D301" s="14">
        <v>7.4704038E7</v>
      </c>
      <c r="E301" s="13" t="s">
        <v>26</v>
      </c>
      <c r="F301" s="26">
        <v>400000.0</v>
      </c>
      <c r="G301" s="26">
        <v>60.0</v>
      </c>
      <c r="H301" s="26">
        <f t="shared" si="1"/>
        <v>276000</v>
      </c>
      <c r="I301" s="26">
        <f t="shared" si="92"/>
        <v>676000</v>
      </c>
      <c r="J301" s="26">
        <f>I301/G301</f>
        <v>11266.66667</v>
      </c>
      <c r="K301" s="29">
        <v>45773.0</v>
      </c>
      <c r="L301" s="29">
        <v>45834.0</v>
      </c>
      <c r="M301" s="13" t="str">
        <f t="shared" si="98"/>
        <v>Overdue</v>
      </c>
      <c r="N301" s="24"/>
      <c r="O301" s="24"/>
      <c r="P301" s="24"/>
      <c r="Q301" s="24"/>
      <c r="R301" s="24"/>
      <c r="S301" s="24"/>
      <c r="T301" s="24"/>
      <c r="U301" s="24"/>
    </row>
    <row r="302">
      <c r="A302" s="13" t="s">
        <v>679</v>
      </c>
      <c r="B302" s="14">
        <v>7.06835854E8</v>
      </c>
      <c r="C302" s="13" t="s">
        <v>680</v>
      </c>
      <c r="D302" s="14" t="s">
        <v>681</v>
      </c>
      <c r="E302" s="13" t="s">
        <v>26</v>
      </c>
      <c r="F302" s="26">
        <v>400000.0</v>
      </c>
      <c r="G302" s="26">
        <v>30.0</v>
      </c>
      <c r="H302" s="26">
        <f t="shared" si="1"/>
        <v>120000</v>
      </c>
      <c r="I302" s="26">
        <f t="shared" si="92"/>
        <v>520000</v>
      </c>
      <c r="J302" s="26">
        <f t="shared" ref="J302:J305" si="100">Round(I302/G302,-2)</f>
        <v>17300</v>
      </c>
      <c r="K302" s="29">
        <v>45773.0</v>
      </c>
      <c r="L302" s="30">
        <v>45803.0</v>
      </c>
      <c r="M302" s="13" t="str">
        <f t="shared" si="98"/>
        <v>Overdue</v>
      </c>
      <c r="N302" s="24"/>
      <c r="O302" s="24"/>
      <c r="P302" s="24"/>
      <c r="Q302" s="24"/>
      <c r="R302" s="24"/>
      <c r="S302" s="24"/>
      <c r="T302" s="24"/>
      <c r="U302" s="24"/>
    </row>
    <row r="303" ht="24.75" customHeight="1">
      <c r="A303" s="43" t="s">
        <v>682</v>
      </c>
      <c r="B303" s="44">
        <v>7.0616046E8</v>
      </c>
      <c r="C303" s="43" t="s">
        <v>41</v>
      </c>
      <c r="D303" s="44">
        <v>7.40841609E8</v>
      </c>
      <c r="E303" s="43" t="s">
        <v>26</v>
      </c>
      <c r="F303" s="31">
        <v>154100.0</v>
      </c>
      <c r="G303" s="31">
        <v>60.0</v>
      </c>
      <c r="H303" s="31">
        <f t="shared" si="1"/>
        <v>106329</v>
      </c>
      <c r="I303" s="31">
        <f t="shared" si="92"/>
        <v>260429</v>
      </c>
      <c r="J303" s="31">
        <f t="shared" si="100"/>
        <v>4300</v>
      </c>
      <c r="K303" s="46">
        <v>45841.0</v>
      </c>
      <c r="L303" s="46">
        <v>45902.0</v>
      </c>
      <c r="M303" s="43" t="str">
        <f t="shared" si="98"/>
        <v>Overdue</v>
      </c>
      <c r="N303" s="24"/>
      <c r="O303" s="24"/>
      <c r="P303" s="24"/>
      <c r="Q303" s="24"/>
      <c r="R303" s="24"/>
      <c r="S303" s="24"/>
      <c r="T303" s="24"/>
      <c r="U303" s="24"/>
    </row>
    <row r="304">
      <c r="A304" s="13" t="s">
        <v>683</v>
      </c>
      <c r="B304" s="14">
        <v>7.58398749E8</v>
      </c>
      <c r="C304" s="13" t="s">
        <v>684</v>
      </c>
      <c r="D304" s="14">
        <v>7.03714529E8</v>
      </c>
      <c r="E304" s="13" t="s">
        <v>23</v>
      </c>
      <c r="F304" s="26">
        <v>70000.0</v>
      </c>
      <c r="G304" s="26">
        <v>30.0</v>
      </c>
      <c r="H304" s="26">
        <f t="shared" si="1"/>
        <v>21000</v>
      </c>
      <c r="I304" s="26">
        <f t="shared" si="92"/>
        <v>91000</v>
      </c>
      <c r="J304" s="26">
        <f t="shared" si="100"/>
        <v>3000</v>
      </c>
      <c r="K304" s="29">
        <v>45692.0</v>
      </c>
      <c r="L304" s="29">
        <v>45720.0</v>
      </c>
      <c r="M304" s="13" t="str">
        <f t="shared" si="98"/>
        <v>Overdue</v>
      </c>
      <c r="N304" s="24"/>
      <c r="O304" s="24"/>
      <c r="P304" s="24"/>
      <c r="Q304" s="24"/>
      <c r="R304" s="24"/>
      <c r="S304" s="24"/>
      <c r="T304" s="24"/>
      <c r="U304" s="24"/>
    </row>
    <row r="305">
      <c r="A305" s="13" t="s">
        <v>685</v>
      </c>
      <c r="B305" s="26">
        <v>7.4613537E8</v>
      </c>
      <c r="C305" s="13" t="s">
        <v>686</v>
      </c>
      <c r="D305" s="26">
        <v>7.08644465E8</v>
      </c>
      <c r="E305" s="13" t="s">
        <v>502</v>
      </c>
      <c r="F305" s="26">
        <v>110000.0</v>
      </c>
      <c r="G305" s="26">
        <v>30.0</v>
      </c>
      <c r="H305" s="26">
        <f t="shared" si="1"/>
        <v>33000</v>
      </c>
      <c r="I305" s="26">
        <f t="shared" si="92"/>
        <v>143000</v>
      </c>
      <c r="J305" s="26">
        <f t="shared" si="100"/>
        <v>4800</v>
      </c>
      <c r="K305" s="29">
        <v>45749.0</v>
      </c>
      <c r="L305" s="30">
        <v>45780.0</v>
      </c>
      <c r="M305" s="13" t="str">
        <f t="shared" si="98"/>
        <v>Overdue</v>
      </c>
      <c r="N305" s="24"/>
      <c r="O305" s="24"/>
      <c r="P305" s="24"/>
      <c r="Q305" s="24"/>
      <c r="R305" s="24"/>
      <c r="S305" s="24"/>
      <c r="T305" s="24"/>
      <c r="U305" s="24"/>
    </row>
    <row r="306">
      <c r="A306" s="3" t="s">
        <v>687</v>
      </c>
      <c r="B306" s="33">
        <v>7.04108578E8</v>
      </c>
      <c r="C306" s="13" t="s">
        <v>247</v>
      </c>
      <c r="D306" s="14">
        <v>7.45618863E8</v>
      </c>
      <c r="E306" s="50" t="s">
        <v>26</v>
      </c>
      <c r="F306" s="48">
        <v>947000.0</v>
      </c>
      <c r="G306" s="48">
        <v>30.0</v>
      </c>
      <c r="H306" s="26">
        <f t="shared" si="1"/>
        <v>284100</v>
      </c>
      <c r="I306" s="31">
        <f>F306*(1+0.3)^(G306/30)+20000</f>
        <v>1251100</v>
      </c>
      <c r="J306" s="26">
        <f t="shared" ref="J306:J367" si="101">I306/G306</f>
        <v>41703.33333</v>
      </c>
      <c r="K306" s="32">
        <v>45882.0</v>
      </c>
      <c r="L306" s="27">
        <v>45943.0</v>
      </c>
      <c r="M306" s="13" t="str">
        <f t="shared" si="98"/>
        <v>Overdue</v>
      </c>
      <c r="N306" s="24"/>
      <c r="O306" s="24"/>
      <c r="P306" s="24"/>
      <c r="Q306" s="24"/>
      <c r="R306" s="24"/>
      <c r="S306" s="24"/>
      <c r="T306" s="24"/>
      <c r="U306" s="24"/>
    </row>
    <row r="307">
      <c r="A307" s="63" t="s">
        <v>688</v>
      </c>
      <c r="B307" s="63">
        <v>7.78893717E8</v>
      </c>
      <c r="C307" s="63" t="s">
        <v>689</v>
      </c>
      <c r="D307" s="63">
        <v>7.47652383E8</v>
      </c>
      <c r="E307" s="63" t="s">
        <v>45</v>
      </c>
      <c r="F307" s="64">
        <v>400000.0</v>
      </c>
      <c r="G307" s="63">
        <v>60.0</v>
      </c>
      <c r="H307" s="26">
        <f t="shared" si="1"/>
        <v>276000</v>
      </c>
      <c r="I307" s="31">
        <f>F307*(1+0.3)^(G307/30)+100000</f>
        <v>776000</v>
      </c>
      <c r="J307" s="26">
        <f t="shared" si="101"/>
        <v>12933.33333</v>
      </c>
      <c r="K307" s="28" t="s">
        <v>690</v>
      </c>
      <c r="L307" s="27">
        <v>45949.0</v>
      </c>
      <c r="M307" s="13" t="str">
        <f t="shared" si="98"/>
        <v>Overdue</v>
      </c>
      <c r="N307" s="24"/>
      <c r="O307" s="24"/>
      <c r="P307" s="24"/>
      <c r="Q307" s="24"/>
      <c r="R307" s="24"/>
      <c r="S307" s="24"/>
      <c r="T307" s="24"/>
      <c r="U307" s="24"/>
    </row>
    <row r="308">
      <c r="A308" s="63" t="s">
        <v>691</v>
      </c>
      <c r="B308" s="63">
        <v>7.56219795E8</v>
      </c>
      <c r="C308" s="63" t="s">
        <v>692</v>
      </c>
      <c r="D308" s="63">
        <v>7.4818161E7</v>
      </c>
      <c r="E308" s="63" t="s">
        <v>693</v>
      </c>
      <c r="F308" s="64">
        <v>1200000.0</v>
      </c>
      <c r="G308" s="63">
        <v>30.0</v>
      </c>
      <c r="H308" s="26">
        <f t="shared" si="1"/>
        <v>360000</v>
      </c>
      <c r="I308" s="31"/>
      <c r="J308" s="26">
        <f t="shared" si="101"/>
        <v>0</v>
      </c>
      <c r="K308" s="32">
        <v>45925.0</v>
      </c>
      <c r="L308" s="27">
        <v>45955.0</v>
      </c>
      <c r="M308" s="13" t="str">
        <f t="shared" si="98"/>
        <v>Overdue</v>
      </c>
      <c r="N308" s="24"/>
      <c r="O308" s="24"/>
      <c r="P308" s="24"/>
      <c r="Q308" s="24"/>
      <c r="R308" s="24"/>
      <c r="S308" s="24"/>
      <c r="T308" s="24"/>
      <c r="U308" s="24"/>
    </row>
    <row r="309">
      <c r="A309" s="63" t="s">
        <v>694</v>
      </c>
      <c r="B309" s="63">
        <v>7.09421704E8</v>
      </c>
      <c r="C309" s="63" t="s">
        <v>695</v>
      </c>
      <c r="D309" s="63">
        <v>7.094230141E9</v>
      </c>
      <c r="E309" s="63" t="s">
        <v>696</v>
      </c>
      <c r="F309" s="64">
        <v>500000.0</v>
      </c>
      <c r="G309" s="63">
        <v>60.0</v>
      </c>
      <c r="H309" s="26">
        <f t="shared" si="1"/>
        <v>345000</v>
      </c>
      <c r="I309" s="31">
        <f>F309*(1+0.3)^(G309/30)+20000</f>
        <v>865000</v>
      </c>
      <c r="J309" s="26">
        <f t="shared" si="101"/>
        <v>14416.66667</v>
      </c>
      <c r="K309" s="32">
        <v>45889.0</v>
      </c>
      <c r="L309" s="27">
        <v>45950.0</v>
      </c>
      <c r="M309" s="13" t="str">
        <f t="shared" si="98"/>
        <v>Overdue</v>
      </c>
      <c r="N309" s="24"/>
      <c r="O309" s="24"/>
      <c r="P309" s="24"/>
      <c r="Q309" s="24"/>
      <c r="R309" s="24"/>
      <c r="S309" s="24"/>
      <c r="T309" s="24"/>
      <c r="U309" s="24"/>
    </row>
    <row r="310">
      <c r="A310" s="63" t="s">
        <v>697</v>
      </c>
      <c r="B310" s="63">
        <v>23.0</v>
      </c>
      <c r="C310" s="63" t="s">
        <v>698</v>
      </c>
      <c r="D310" s="63">
        <v>7.4012961E7</v>
      </c>
      <c r="E310" s="63" t="s">
        <v>693</v>
      </c>
      <c r="F310" s="64">
        <v>1024600.0</v>
      </c>
      <c r="G310" s="63">
        <v>90.0</v>
      </c>
      <c r="H310" s="26">
        <f t="shared" si="1"/>
        <v>1226446.2</v>
      </c>
      <c r="I310" s="31"/>
      <c r="J310" s="26">
        <f t="shared" si="101"/>
        <v>0</v>
      </c>
      <c r="K310" s="32">
        <v>45889.0</v>
      </c>
      <c r="L310" s="27">
        <v>45981.0</v>
      </c>
      <c r="M310" s="13" t="str">
        <f t="shared" si="98"/>
        <v>Cleared</v>
      </c>
      <c r="N310" s="24"/>
      <c r="O310" s="24"/>
      <c r="P310" s="24"/>
      <c r="Q310" s="24"/>
      <c r="R310" s="24"/>
      <c r="S310" s="24"/>
      <c r="T310" s="24"/>
      <c r="U310" s="24"/>
    </row>
    <row r="311">
      <c r="A311" s="63" t="s">
        <v>699</v>
      </c>
      <c r="B311" s="63">
        <v>7.87302115E8</v>
      </c>
      <c r="C311" s="63" t="s">
        <v>700</v>
      </c>
      <c r="D311" s="63">
        <v>7.59609173E8</v>
      </c>
      <c r="E311" s="63" t="s">
        <v>693</v>
      </c>
      <c r="F311" s="64">
        <v>400000.0</v>
      </c>
      <c r="G311" s="63">
        <v>30.0</v>
      </c>
      <c r="H311" s="26">
        <f t="shared" si="1"/>
        <v>120000</v>
      </c>
      <c r="I311" s="31">
        <f t="shared" ref="I311:I356" si="102">F311*(1+0.3)^(G311/30)+20000</f>
        <v>540000</v>
      </c>
      <c r="J311" s="26">
        <f t="shared" si="101"/>
        <v>18000</v>
      </c>
      <c r="K311" s="80">
        <v>45894.0</v>
      </c>
      <c r="L311" s="79">
        <v>45925.0</v>
      </c>
      <c r="M311" s="13" t="str">
        <f t="shared" si="98"/>
        <v>Overdue</v>
      </c>
      <c r="N311" s="24"/>
      <c r="O311" s="24"/>
      <c r="P311" s="24"/>
      <c r="Q311" s="24"/>
      <c r="R311" s="24"/>
      <c r="S311" s="24"/>
      <c r="T311" s="24"/>
      <c r="U311" s="24"/>
    </row>
    <row r="312">
      <c r="A312" s="63" t="s">
        <v>701</v>
      </c>
      <c r="B312" s="63">
        <v>7.0179788E8</v>
      </c>
      <c r="C312" s="63" t="s">
        <v>702</v>
      </c>
      <c r="D312" s="63">
        <v>7.0179788E8</v>
      </c>
      <c r="E312" s="63" t="s">
        <v>693</v>
      </c>
      <c r="F312" s="64">
        <v>560000.0</v>
      </c>
      <c r="G312" s="63">
        <v>60.0</v>
      </c>
      <c r="H312" s="26">
        <f t="shared" si="1"/>
        <v>386400</v>
      </c>
      <c r="I312" s="31">
        <f t="shared" si="102"/>
        <v>966400</v>
      </c>
      <c r="J312" s="26">
        <f t="shared" si="101"/>
        <v>16106.66667</v>
      </c>
      <c r="K312" s="80">
        <v>45894.0</v>
      </c>
      <c r="L312" s="79">
        <v>45955.0</v>
      </c>
      <c r="M312" s="13" t="str">
        <f t="shared" si="98"/>
        <v>Overdue</v>
      </c>
      <c r="N312" s="24"/>
      <c r="O312" s="24"/>
      <c r="P312" s="24"/>
      <c r="Q312" s="24"/>
      <c r="R312" s="24"/>
      <c r="S312" s="24"/>
      <c r="T312" s="24"/>
      <c r="U312" s="24"/>
    </row>
    <row r="313">
      <c r="A313" s="63" t="s">
        <v>703</v>
      </c>
      <c r="B313" s="63">
        <v>7.63028204E8</v>
      </c>
      <c r="C313" s="63" t="s">
        <v>704</v>
      </c>
      <c r="D313" s="63">
        <v>7.44242821E8</v>
      </c>
      <c r="E313" s="63" t="s">
        <v>693</v>
      </c>
      <c r="F313" s="64">
        <v>600000.0</v>
      </c>
      <c r="G313" s="63">
        <v>60.0</v>
      </c>
      <c r="H313" s="26">
        <f t="shared" si="1"/>
        <v>414000</v>
      </c>
      <c r="I313" s="31">
        <f t="shared" si="102"/>
        <v>1034000</v>
      </c>
      <c r="J313" s="26">
        <f t="shared" si="101"/>
        <v>17233.33333</v>
      </c>
      <c r="K313" s="79">
        <v>45895.0</v>
      </c>
      <c r="L313" s="79">
        <v>45956.0</v>
      </c>
      <c r="M313" s="13" t="str">
        <f t="shared" si="98"/>
        <v>Overdue</v>
      </c>
      <c r="N313" s="24"/>
      <c r="O313" s="24"/>
      <c r="P313" s="24"/>
      <c r="Q313" s="24"/>
      <c r="R313" s="24"/>
      <c r="S313" s="24"/>
      <c r="T313" s="24"/>
      <c r="U313" s="24"/>
    </row>
    <row r="314">
      <c r="A314" s="63" t="s">
        <v>705</v>
      </c>
      <c r="B314" s="63">
        <v>7.71378404E8</v>
      </c>
      <c r="C314" s="63" t="s">
        <v>706</v>
      </c>
      <c r="D314" s="63">
        <v>7.7216134E8</v>
      </c>
      <c r="E314" s="63" t="s">
        <v>707</v>
      </c>
      <c r="F314" s="64">
        <v>300000.0</v>
      </c>
      <c r="G314" s="63">
        <v>60.0</v>
      </c>
      <c r="H314" s="26">
        <f t="shared" si="1"/>
        <v>207000</v>
      </c>
      <c r="I314" s="31">
        <f t="shared" si="102"/>
        <v>527000</v>
      </c>
      <c r="J314" s="26">
        <f t="shared" si="101"/>
        <v>8783.333333</v>
      </c>
      <c r="K314" s="79">
        <v>45895.0</v>
      </c>
      <c r="L314" s="79">
        <v>45956.0</v>
      </c>
      <c r="M314" s="13" t="str">
        <f t="shared" si="98"/>
        <v>Overdue</v>
      </c>
      <c r="N314" s="24"/>
      <c r="O314" s="24"/>
      <c r="P314" s="24"/>
      <c r="Q314" s="24"/>
      <c r="R314" s="24"/>
      <c r="S314" s="24"/>
      <c r="T314" s="24"/>
      <c r="U314" s="24"/>
    </row>
    <row r="315">
      <c r="A315" s="63" t="s">
        <v>708</v>
      </c>
      <c r="B315" s="63">
        <v>7421241.0</v>
      </c>
      <c r="C315" s="63" t="s">
        <v>709</v>
      </c>
      <c r="D315" s="63">
        <v>7.5704182E7</v>
      </c>
      <c r="E315" s="63" t="s">
        <v>693</v>
      </c>
      <c r="F315" s="64">
        <v>800000.0</v>
      </c>
      <c r="G315" s="63">
        <v>60.0</v>
      </c>
      <c r="H315" s="26">
        <f t="shared" si="1"/>
        <v>552000</v>
      </c>
      <c r="I315" s="31">
        <f t="shared" si="102"/>
        <v>1372000</v>
      </c>
      <c r="J315" s="26">
        <f t="shared" si="101"/>
        <v>22866.66667</v>
      </c>
      <c r="K315" s="81" t="s">
        <v>710</v>
      </c>
      <c r="L315" s="82">
        <v>45962.0</v>
      </c>
      <c r="M315" s="13" t="str">
        <f t="shared" si="98"/>
        <v>Active</v>
      </c>
      <c r="N315" s="24"/>
      <c r="O315" s="24"/>
      <c r="P315" s="24"/>
      <c r="Q315" s="24"/>
      <c r="R315" s="24"/>
      <c r="S315" s="24"/>
      <c r="T315" s="24"/>
      <c r="U315" s="24"/>
    </row>
    <row r="316">
      <c r="A316" s="63" t="s">
        <v>711</v>
      </c>
      <c r="B316" s="63">
        <v>7.5575205E8</v>
      </c>
      <c r="C316" s="63" t="s">
        <v>712</v>
      </c>
      <c r="D316" s="63">
        <v>7.65243778E8</v>
      </c>
      <c r="E316" s="63" t="s">
        <v>713</v>
      </c>
      <c r="F316" s="64">
        <v>300000.0</v>
      </c>
      <c r="G316" s="63">
        <v>30.0</v>
      </c>
      <c r="H316" s="26">
        <f t="shared" si="1"/>
        <v>90000</v>
      </c>
      <c r="I316" s="31">
        <f t="shared" si="102"/>
        <v>410000</v>
      </c>
      <c r="J316" s="26">
        <f t="shared" si="101"/>
        <v>13666.66667</v>
      </c>
      <c r="K316" s="81" t="s">
        <v>714</v>
      </c>
      <c r="L316" s="79">
        <v>45966.0</v>
      </c>
      <c r="M316" s="13" t="str">
        <f t="shared" si="98"/>
        <v>Active</v>
      </c>
      <c r="N316" s="24"/>
      <c r="O316" s="24"/>
      <c r="P316" s="24"/>
      <c r="Q316" s="24"/>
      <c r="R316" s="24"/>
      <c r="S316" s="24"/>
      <c r="T316" s="24"/>
      <c r="U316" s="24"/>
    </row>
    <row r="317">
      <c r="A317" s="63" t="s">
        <v>715</v>
      </c>
      <c r="B317" s="63">
        <v>7.52327785E8</v>
      </c>
      <c r="C317" s="63" t="s">
        <v>716</v>
      </c>
      <c r="D317" s="63">
        <v>7.7342083E8</v>
      </c>
      <c r="E317" s="63" t="s">
        <v>717</v>
      </c>
      <c r="F317" s="64">
        <v>1500000.0</v>
      </c>
      <c r="G317" s="63">
        <v>60.0</v>
      </c>
      <c r="H317" s="26">
        <f t="shared" si="1"/>
        <v>1035000</v>
      </c>
      <c r="I317" s="31">
        <f t="shared" si="102"/>
        <v>2555000</v>
      </c>
      <c r="J317" s="26">
        <f t="shared" si="101"/>
        <v>42583.33333</v>
      </c>
      <c r="K317" s="81" t="s">
        <v>718</v>
      </c>
      <c r="L317" s="82">
        <v>45964.0</v>
      </c>
      <c r="M317" s="13" t="str">
        <f t="shared" si="98"/>
        <v>Active</v>
      </c>
      <c r="N317" s="24"/>
      <c r="O317" s="24"/>
      <c r="P317" s="24"/>
      <c r="Q317" s="24"/>
      <c r="R317" s="24"/>
      <c r="S317" s="24"/>
      <c r="T317" s="24"/>
      <c r="U317" s="24"/>
    </row>
    <row r="318">
      <c r="A318" s="63" t="s">
        <v>719</v>
      </c>
      <c r="B318" s="63">
        <v>7.03114687E8</v>
      </c>
      <c r="C318" s="63" t="s">
        <v>720</v>
      </c>
      <c r="D318" s="63">
        <v>7.53556565E8</v>
      </c>
      <c r="E318" s="63" t="s">
        <v>721</v>
      </c>
      <c r="F318" s="64">
        <v>800000.0</v>
      </c>
      <c r="G318" s="63">
        <v>30.0</v>
      </c>
      <c r="H318" s="26">
        <f t="shared" si="1"/>
        <v>240000</v>
      </c>
      <c r="I318" s="31">
        <f t="shared" si="102"/>
        <v>1060000</v>
      </c>
      <c r="J318" s="26">
        <f t="shared" si="101"/>
        <v>35333.33333</v>
      </c>
      <c r="K318" s="83">
        <v>45935.0</v>
      </c>
      <c r="L318" s="82">
        <v>45966.0</v>
      </c>
      <c r="M318" s="13" t="str">
        <f t="shared" si="98"/>
        <v>Active</v>
      </c>
      <c r="N318" s="24"/>
      <c r="O318" s="24"/>
      <c r="P318" s="24"/>
      <c r="Q318" s="24"/>
      <c r="R318" s="24"/>
      <c r="S318" s="24"/>
      <c r="T318" s="24"/>
      <c r="U318" s="24"/>
    </row>
    <row r="319">
      <c r="A319" s="63" t="s">
        <v>722</v>
      </c>
      <c r="B319" s="63">
        <v>7.59778765E8</v>
      </c>
      <c r="C319" s="63" t="s">
        <v>723</v>
      </c>
      <c r="D319" s="63">
        <v>7.57965313E8</v>
      </c>
      <c r="E319" s="63" t="s">
        <v>724</v>
      </c>
      <c r="F319" s="64">
        <v>400000.0</v>
      </c>
      <c r="G319" s="63">
        <v>30.0</v>
      </c>
      <c r="H319" s="84">
        <f t="shared" si="1"/>
        <v>120000</v>
      </c>
      <c r="I319" s="84">
        <f t="shared" si="102"/>
        <v>540000</v>
      </c>
      <c r="J319" s="84">
        <f t="shared" si="101"/>
        <v>18000</v>
      </c>
      <c r="K319" s="83">
        <v>45937.0</v>
      </c>
      <c r="L319" s="82">
        <v>45968.0</v>
      </c>
      <c r="M319" s="13" t="str">
        <f t="shared" si="98"/>
        <v>Active</v>
      </c>
      <c r="N319" s="73"/>
      <c r="O319" s="73"/>
      <c r="P319" s="73"/>
      <c r="Q319" s="73"/>
      <c r="R319" s="73"/>
      <c r="S319" s="73"/>
      <c r="T319" s="73"/>
      <c r="U319" s="73"/>
    </row>
    <row r="320">
      <c r="A320" s="63" t="s">
        <v>725</v>
      </c>
      <c r="B320" s="63">
        <v>7.04420892E8</v>
      </c>
      <c r="C320" s="63" t="s">
        <v>726</v>
      </c>
      <c r="D320" s="63">
        <v>7.06122303E8</v>
      </c>
      <c r="E320" s="63" t="s">
        <v>727</v>
      </c>
      <c r="F320" s="64">
        <v>300000.0</v>
      </c>
      <c r="G320" s="63">
        <v>30.0</v>
      </c>
      <c r="H320" s="26">
        <f t="shared" si="1"/>
        <v>90000</v>
      </c>
      <c r="I320" s="31">
        <f t="shared" si="102"/>
        <v>410000</v>
      </c>
      <c r="J320" s="26">
        <f t="shared" si="101"/>
        <v>13666.66667</v>
      </c>
      <c r="K320" s="81" t="s">
        <v>728</v>
      </c>
      <c r="L320" s="82">
        <v>45935.0</v>
      </c>
      <c r="M320" s="13" t="str">
        <f t="shared" si="98"/>
        <v>Overdue</v>
      </c>
      <c r="N320" s="24"/>
      <c r="O320" s="24"/>
      <c r="P320" s="24"/>
      <c r="Q320" s="24"/>
      <c r="R320" s="24"/>
      <c r="S320" s="24"/>
      <c r="T320" s="24"/>
      <c r="U320" s="24"/>
    </row>
    <row r="321">
      <c r="A321" s="63" t="s">
        <v>729</v>
      </c>
      <c r="B321" s="73"/>
      <c r="C321" s="63" t="s">
        <v>730</v>
      </c>
      <c r="D321" s="73"/>
      <c r="E321" s="63" t="s">
        <v>234</v>
      </c>
      <c r="F321" s="64">
        <v>600000.0</v>
      </c>
      <c r="G321" s="63">
        <v>60.0</v>
      </c>
      <c r="H321" s="26">
        <f t="shared" si="1"/>
        <v>414000</v>
      </c>
      <c r="I321" s="31">
        <f t="shared" si="102"/>
        <v>1034000</v>
      </c>
      <c r="J321" s="26">
        <f t="shared" si="101"/>
        <v>17233.33333</v>
      </c>
      <c r="K321" s="81" t="s">
        <v>731</v>
      </c>
      <c r="L321" s="82">
        <v>45966.0</v>
      </c>
      <c r="M321" s="13" t="str">
        <f t="shared" si="98"/>
        <v>Active</v>
      </c>
      <c r="N321" s="24"/>
      <c r="O321" s="24"/>
      <c r="P321" s="24"/>
      <c r="Q321" s="24"/>
      <c r="R321" s="24"/>
      <c r="S321" s="24"/>
      <c r="T321" s="24"/>
      <c r="U321" s="24"/>
    </row>
    <row r="322">
      <c r="A322" s="63" t="s">
        <v>732</v>
      </c>
      <c r="B322" s="63">
        <v>7.53011355E8</v>
      </c>
      <c r="C322" s="63" t="s">
        <v>733</v>
      </c>
      <c r="D322" s="63">
        <v>7.43151255E8</v>
      </c>
      <c r="E322" s="63" t="s">
        <v>734</v>
      </c>
      <c r="F322" s="64">
        <v>500000.0</v>
      </c>
      <c r="G322" s="63">
        <v>30.0</v>
      </c>
      <c r="H322" s="26">
        <f t="shared" si="1"/>
        <v>150000</v>
      </c>
      <c r="I322" s="31">
        <f t="shared" si="102"/>
        <v>670000</v>
      </c>
      <c r="J322" s="26">
        <f t="shared" si="101"/>
        <v>22333.33333</v>
      </c>
      <c r="K322" s="85">
        <v>45951.0</v>
      </c>
      <c r="L322" s="86">
        <v>45982.0</v>
      </c>
      <c r="M322" s="13" t="str">
        <f t="shared" si="98"/>
        <v>Active</v>
      </c>
      <c r="N322" s="24"/>
      <c r="O322" s="24"/>
      <c r="P322" s="24"/>
      <c r="Q322" s="24"/>
      <c r="R322" s="24"/>
      <c r="S322" s="24"/>
      <c r="T322" s="24"/>
      <c r="U322" s="24"/>
    </row>
    <row r="323">
      <c r="A323" s="63" t="s">
        <v>735</v>
      </c>
      <c r="B323" s="63">
        <v>7.06469479E8</v>
      </c>
      <c r="C323" s="63" t="s">
        <v>736</v>
      </c>
      <c r="D323" s="63">
        <v>7.5221614E8</v>
      </c>
      <c r="E323" s="63" t="s">
        <v>737</v>
      </c>
      <c r="F323" s="64">
        <v>300000.0</v>
      </c>
      <c r="G323" s="63">
        <v>30.0</v>
      </c>
      <c r="H323" s="26">
        <f t="shared" si="1"/>
        <v>90000</v>
      </c>
      <c r="I323" s="31">
        <f t="shared" si="102"/>
        <v>410000</v>
      </c>
      <c r="J323" s="26">
        <f t="shared" si="101"/>
        <v>13666.66667</v>
      </c>
      <c r="K323" s="81" t="s">
        <v>738</v>
      </c>
      <c r="L323" s="86">
        <v>45941.0</v>
      </c>
      <c r="M323" s="73"/>
      <c r="N323" s="24"/>
      <c r="O323" s="24"/>
      <c r="P323" s="24"/>
      <c r="Q323" s="24"/>
      <c r="R323" s="24"/>
      <c r="S323" s="24"/>
      <c r="T323" s="24"/>
      <c r="U323" s="24"/>
    </row>
    <row r="324">
      <c r="A324" s="63" t="s">
        <v>739</v>
      </c>
      <c r="B324" s="63">
        <v>7.08237695E8</v>
      </c>
      <c r="C324" s="63" t="s">
        <v>740</v>
      </c>
      <c r="D324" s="73"/>
      <c r="E324" s="63" t="s">
        <v>123</v>
      </c>
      <c r="F324" s="64">
        <v>300000.0</v>
      </c>
      <c r="G324" s="63">
        <v>30.0</v>
      </c>
      <c r="H324" s="26">
        <f t="shared" si="1"/>
        <v>90000</v>
      </c>
      <c r="I324" s="31">
        <f t="shared" si="102"/>
        <v>410000</v>
      </c>
      <c r="J324" s="26">
        <f t="shared" si="101"/>
        <v>13666.66667</v>
      </c>
      <c r="K324" s="81" t="s">
        <v>738</v>
      </c>
      <c r="L324" s="86">
        <v>45941.0</v>
      </c>
      <c r="M324" s="73"/>
      <c r="N324" s="24"/>
      <c r="O324" s="24"/>
      <c r="P324" s="24"/>
      <c r="Q324" s="24"/>
      <c r="R324" s="24"/>
      <c r="S324" s="24"/>
      <c r="T324" s="24"/>
      <c r="U324" s="24"/>
    </row>
    <row r="325">
      <c r="A325" s="63" t="s">
        <v>741</v>
      </c>
      <c r="B325" s="63">
        <v>7.5613769E7</v>
      </c>
      <c r="C325" s="63" t="s">
        <v>742</v>
      </c>
      <c r="D325" s="63">
        <v>7.05270125E8</v>
      </c>
      <c r="E325" s="63" t="s">
        <v>320</v>
      </c>
      <c r="F325" s="64">
        <v>200000.0</v>
      </c>
      <c r="G325" s="63">
        <v>30.0</v>
      </c>
      <c r="H325" s="26">
        <f t="shared" si="1"/>
        <v>60000</v>
      </c>
      <c r="I325" s="31">
        <f t="shared" si="102"/>
        <v>280000</v>
      </c>
      <c r="J325" s="26">
        <f t="shared" si="101"/>
        <v>9333.333333</v>
      </c>
      <c r="K325" s="81" t="s">
        <v>738</v>
      </c>
      <c r="L325" s="86">
        <v>45941.0</v>
      </c>
      <c r="M325" s="73"/>
      <c r="N325" s="24"/>
      <c r="O325" s="24"/>
      <c r="P325" s="24"/>
      <c r="Q325" s="24"/>
      <c r="R325" s="24"/>
      <c r="S325" s="24"/>
      <c r="T325" s="24"/>
      <c r="U325" s="24"/>
    </row>
    <row r="326">
      <c r="A326" s="63" t="s">
        <v>743</v>
      </c>
      <c r="B326" s="63">
        <v>7.46675145E8</v>
      </c>
      <c r="C326" s="63" t="s">
        <v>744</v>
      </c>
      <c r="D326" s="63">
        <v>7.54353174E8</v>
      </c>
      <c r="E326" s="63" t="s">
        <v>320</v>
      </c>
      <c r="F326" s="64">
        <v>200000.0</v>
      </c>
      <c r="G326" s="63">
        <v>30.0</v>
      </c>
      <c r="H326" s="26">
        <f t="shared" si="1"/>
        <v>60000</v>
      </c>
      <c r="I326" s="31">
        <f t="shared" si="102"/>
        <v>280000</v>
      </c>
      <c r="J326" s="26">
        <f t="shared" si="101"/>
        <v>9333.333333</v>
      </c>
      <c r="K326" s="81" t="s">
        <v>738</v>
      </c>
      <c r="L326" s="86">
        <v>45941.0</v>
      </c>
      <c r="M326" s="73"/>
      <c r="N326" s="24"/>
      <c r="O326" s="24"/>
      <c r="P326" s="24"/>
      <c r="Q326" s="24"/>
      <c r="R326" s="24"/>
      <c r="S326" s="24"/>
      <c r="T326" s="24"/>
      <c r="U326" s="24"/>
    </row>
    <row r="327">
      <c r="A327" s="63" t="s">
        <v>745</v>
      </c>
      <c r="B327" s="63">
        <v>7.08424766E8</v>
      </c>
      <c r="C327" s="63" t="s">
        <v>746</v>
      </c>
      <c r="D327" s="63">
        <v>7.8022686E8</v>
      </c>
      <c r="E327" s="63" t="s">
        <v>747</v>
      </c>
      <c r="F327" s="64">
        <v>300000.0</v>
      </c>
      <c r="G327" s="63">
        <v>30.0</v>
      </c>
      <c r="H327" s="26">
        <f t="shared" si="1"/>
        <v>90000</v>
      </c>
      <c r="I327" s="31">
        <f t="shared" si="102"/>
        <v>410000</v>
      </c>
      <c r="J327" s="26">
        <f t="shared" si="101"/>
        <v>13666.66667</v>
      </c>
      <c r="K327" s="81" t="s">
        <v>748</v>
      </c>
      <c r="L327" s="86">
        <v>45942.0</v>
      </c>
      <c r="M327" s="73"/>
      <c r="N327" s="24"/>
      <c r="O327" s="24"/>
      <c r="P327" s="24"/>
      <c r="Q327" s="24"/>
      <c r="R327" s="24"/>
      <c r="S327" s="24"/>
      <c r="T327" s="24"/>
      <c r="U327" s="24"/>
    </row>
    <row r="328">
      <c r="A328" s="63" t="s">
        <v>749</v>
      </c>
      <c r="B328" s="63">
        <v>7.59121924E8</v>
      </c>
      <c r="C328" s="63" t="s">
        <v>750</v>
      </c>
      <c r="D328" s="63">
        <v>7.57015516E8</v>
      </c>
      <c r="E328" s="63" t="s">
        <v>747</v>
      </c>
      <c r="F328" s="64">
        <v>400000.0</v>
      </c>
      <c r="G328" s="63">
        <v>30.0</v>
      </c>
      <c r="H328" s="26">
        <f t="shared" si="1"/>
        <v>120000</v>
      </c>
      <c r="I328" s="31">
        <f t="shared" si="102"/>
        <v>540000</v>
      </c>
      <c r="J328" s="26">
        <f t="shared" si="101"/>
        <v>18000</v>
      </c>
      <c r="K328" s="85">
        <v>45951.0</v>
      </c>
      <c r="L328" s="86">
        <v>45982.0</v>
      </c>
      <c r="M328" s="73"/>
      <c r="N328" s="24"/>
      <c r="O328" s="24"/>
      <c r="P328" s="24"/>
      <c r="Q328" s="24"/>
      <c r="R328" s="24"/>
      <c r="S328" s="24"/>
      <c r="T328" s="24"/>
      <c r="U328" s="24"/>
    </row>
    <row r="329">
      <c r="A329" s="63" t="s">
        <v>751</v>
      </c>
      <c r="B329" s="63">
        <v>7.47371351E8</v>
      </c>
      <c r="C329" s="63" t="s">
        <v>752</v>
      </c>
      <c r="D329" s="63">
        <v>7.47371351E8</v>
      </c>
      <c r="E329" s="63" t="s">
        <v>5</v>
      </c>
      <c r="F329" s="64">
        <v>100000.0</v>
      </c>
      <c r="G329" s="63">
        <v>30.0</v>
      </c>
      <c r="H329" s="26">
        <f t="shared" si="1"/>
        <v>30000</v>
      </c>
      <c r="I329" s="31">
        <f t="shared" si="102"/>
        <v>150000</v>
      </c>
      <c r="J329" s="26">
        <f t="shared" si="101"/>
        <v>5000</v>
      </c>
      <c r="K329" s="81" t="s">
        <v>753</v>
      </c>
      <c r="L329" s="86">
        <v>45944.0</v>
      </c>
      <c r="M329" s="73"/>
      <c r="N329" s="24"/>
      <c r="O329" s="24"/>
      <c r="P329" s="24"/>
      <c r="Q329" s="24"/>
      <c r="R329" s="24"/>
      <c r="S329" s="24"/>
      <c r="T329" s="24"/>
      <c r="U329" s="24"/>
    </row>
    <row r="330">
      <c r="A330" s="63" t="s">
        <v>754</v>
      </c>
      <c r="B330" s="63">
        <v>7.01609316E8</v>
      </c>
      <c r="C330" s="63" t="s">
        <v>755</v>
      </c>
      <c r="D330" s="63">
        <v>7.53912424E8</v>
      </c>
      <c r="E330" s="63" t="s">
        <v>123</v>
      </c>
      <c r="F330" s="64">
        <v>300000.0</v>
      </c>
      <c r="G330" s="63">
        <v>30.0</v>
      </c>
      <c r="H330" s="26">
        <f t="shared" si="1"/>
        <v>90000</v>
      </c>
      <c r="I330" s="31">
        <f t="shared" si="102"/>
        <v>410000</v>
      </c>
      <c r="J330" s="26">
        <f t="shared" si="101"/>
        <v>13666.66667</v>
      </c>
      <c r="K330" s="81" t="s">
        <v>756</v>
      </c>
      <c r="L330" s="79">
        <v>45946.0</v>
      </c>
      <c r="M330" s="73"/>
      <c r="N330" s="24"/>
      <c r="O330" s="24"/>
      <c r="P330" s="24"/>
      <c r="Q330" s="24"/>
      <c r="R330" s="24"/>
      <c r="S330" s="24"/>
      <c r="T330" s="24"/>
      <c r="U330" s="24"/>
    </row>
    <row r="331" ht="16.5" customHeight="1">
      <c r="A331" s="63" t="s">
        <v>757</v>
      </c>
      <c r="B331" s="63">
        <v>7.00712597E8</v>
      </c>
      <c r="C331" s="63" t="s">
        <v>758</v>
      </c>
      <c r="D331" s="63">
        <v>7.83230914E8</v>
      </c>
      <c r="E331" s="63" t="s">
        <v>759</v>
      </c>
      <c r="F331" s="64">
        <v>400000.0</v>
      </c>
      <c r="G331" s="63">
        <v>30.0</v>
      </c>
      <c r="H331" s="26">
        <f t="shared" si="1"/>
        <v>120000</v>
      </c>
      <c r="I331" s="31">
        <f t="shared" si="102"/>
        <v>540000</v>
      </c>
      <c r="J331" s="26">
        <f t="shared" si="101"/>
        <v>18000</v>
      </c>
      <c r="K331" s="81" t="s">
        <v>756</v>
      </c>
      <c r="L331" s="79">
        <v>45946.0</v>
      </c>
      <c r="M331" s="73"/>
      <c r="N331" s="24"/>
      <c r="O331" s="24"/>
      <c r="P331" s="24"/>
      <c r="Q331" s="24"/>
      <c r="R331" s="24"/>
      <c r="S331" s="24"/>
      <c r="T331" s="24"/>
      <c r="U331" s="24"/>
    </row>
    <row r="332">
      <c r="A332" s="63" t="s">
        <v>760</v>
      </c>
      <c r="B332" s="63">
        <v>7.7420163E7</v>
      </c>
      <c r="C332" s="63" t="s">
        <v>761</v>
      </c>
      <c r="D332" s="63">
        <v>7.01810094E8</v>
      </c>
      <c r="E332" s="63" t="s">
        <v>762</v>
      </c>
      <c r="F332" s="64">
        <v>800000.0</v>
      </c>
      <c r="G332" s="63">
        <v>60.0</v>
      </c>
      <c r="H332" s="26">
        <f t="shared" si="1"/>
        <v>552000</v>
      </c>
      <c r="I332" s="31">
        <f t="shared" si="102"/>
        <v>1372000</v>
      </c>
      <c r="J332" s="26">
        <f t="shared" si="101"/>
        <v>22866.66667</v>
      </c>
      <c r="K332" s="81" t="s">
        <v>756</v>
      </c>
      <c r="L332" s="79">
        <v>45977.0</v>
      </c>
      <c r="M332" s="73"/>
      <c r="N332" s="24"/>
      <c r="O332" s="24"/>
      <c r="P332" s="24"/>
      <c r="Q332" s="24"/>
      <c r="R332" s="24"/>
      <c r="S332" s="24"/>
      <c r="T332" s="24"/>
      <c r="U332" s="24"/>
    </row>
    <row r="333">
      <c r="A333" s="63" t="s">
        <v>763</v>
      </c>
      <c r="B333" s="63">
        <v>7.5892074E8</v>
      </c>
      <c r="C333" s="63" t="s">
        <v>764</v>
      </c>
      <c r="D333" s="63">
        <v>7.07405057E8</v>
      </c>
      <c r="E333" s="63" t="s">
        <v>123</v>
      </c>
      <c r="F333" s="64">
        <v>150000.0</v>
      </c>
      <c r="G333" s="63">
        <v>30.0</v>
      </c>
      <c r="H333" s="26">
        <f t="shared" si="1"/>
        <v>45000</v>
      </c>
      <c r="I333" s="31">
        <f t="shared" si="102"/>
        <v>215000</v>
      </c>
      <c r="J333" s="26">
        <f t="shared" si="101"/>
        <v>7166.666667</v>
      </c>
      <c r="K333" s="81" t="s">
        <v>756</v>
      </c>
      <c r="L333" s="79">
        <v>45946.0</v>
      </c>
      <c r="M333" s="73"/>
      <c r="N333" s="24"/>
      <c r="O333" s="24"/>
      <c r="P333" s="24"/>
      <c r="Q333" s="24"/>
      <c r="R333" s="24"/>
      <c r="S333" s="24"/>
      <c r="T333" s="24"/>
      <c r="U333" s="24"/>
    </row>
    <row r="334">
      <c r="A334" s="63" t="s">
        <v>765</v>
      </c>
      <c r="B334" s="63">
        <v>7.06051184E8</v>
      </c>
      <c r="C334" s="63" t="s">
        <v>766</v>
      </c>
      <c r="D334" s="63">
        <v>7.59514728E8</v>
      </c>
      <c r="E334" s="63" t="s">
        <v>734</v>
      </c>
      <c r="F334" s="64">
        <v>300000.0</v>
      </c>
      <c r="G334" s="63">
        <v>30.0</v>
      </c>
      <c r="H334" s="26">
        <f t="shared" si="1"/>
        <v>90000</v>
      </c>
      <c r="I334" s="31">
        <f t="shared" si="102"/>
        <v>410000</v>
      </c>
      <c r="J334" s="26">
        <f t="shared" si="101"/>
        <v>13666.66667</v>
      </c>
      <c r="K334" s="81" t="s">
        <v>756</v>
      </c>
      <c r="L334" s="79">
        <v>45946.0</v>
      </c>
      <c r="M334" s="73"/>
      <c r="N334" s="24"/>
      <c r="O334" s="24"/>
      <c r="P334" s="24"/>
      <c r="Q334" s="24"/>
      <c r="R334" s="24"/>
      <c r="S334" s="24"/>
      <c r="T334" s="24"/>
      <c r="U334" s="24"/>
    </row>
    <row r="335">
      <c r="A335" s="63" t="s">
        <v>767</v>
      </c>
      <c r="B335" s="63">
        <v>7.51370809E8</v>
      </c>
      <c r="C335" s="63" t="s">
        <v>768</v>
      </c>
      <c r="D335" s="63">
        <v>7.51370809E8</v>
      </c>
      <c r="E335" s="63" t="s">
        <v>734</v>
      </c>
      <c r="F335" s="64">
        <v>400000.0</v>
      </c>
      <c r="G335" s="63">
        <v>30.0</v>
      </c>
      <c r="H335" s="26">
        <f t="shared" si="1"/>
        <v>120000</v>
      </c>
      <c r="I335" s="31">
        <f t="shared" si="102"/>
        <v>540000</v>
      </c>
      <c r="J335" s="26">
        <f t="shared" si="101"/>
        <v>18000</v>
      </c>
      <c r="K335" s="81" t="s">
        <v>756</v>
      </c>
      <c r="L335" s="79">
        <v>45946.0</v>
      </c>
      <c r="M335" s="73"/>
      <c r="N335" s="24"/>
      <c r="O335" s="24"/>
      <c r="P335" s="24"/>
      <c r="Q335" s="24"/>
      <c r="R335" s="24"/>
      <c r="S335" s="24"/>
      <c r="T335" s="24"/>
      <c r="U335" s="24"/>
    </row>
    <row r="336">
      <c r="A336" s="63" t="s">
        <v>769</v>
      </c>
      <c r="B336" s="63">
        <v>7.63132901E8</v>
      </c>
      <c r="C336" s="63" t="s">
        <v>770</v>
      </c>
      <c r="D336" s="63">
        <v>7.73666722E8</v>
      </c>
      <c r="E336" s="63" t="s">
        <v>771</v>
      </c>
      <c r="F336" s="64">
        <v>300000.0</v>
      </c>
      <c r="G336" s="63">
        <v>30.0</v>
      </c>
      <c r="H336" s="26">
        <f t="shared" si="1"/>
        <v>90000</v>
      </c>
      <c r="I336" s="31">
        <f t="shared" si="102"/>
        <v>410000</v>
      </c>
      <c r="J336" s="26">
        <f t="shared" si="101"/>
        <v>13666.66667</v>
      </c>
      <c r="K336" s="81" t="s">
        <v>772</v>
      </c>
      <c r="L336" s="79">
        <v>45949.0</v>
      </c>
      <c r="M336" s="73"/>
      <c r="N336" s="24"/>
      <c r="O336" s="24"/>
      <c r="P336" s="24"/>
      <c r="Q336" s="24"/>
      <c r="R336" s="24"/>
      <c r="S336" s="24"/>
      <c r="T336" s="24"/>
      <c r="U336" s="24"/>
    </row>
    <row r="337">
      <c r="A337" s="63" t="s">
        <v>773</v>
      </c>
      <c r="B337" s="63">
        <v>7.75938147E8</v>
      </c>
      <c r="C337" s="63" t="s">
        <v>774</v>
      </c>
      <c r="D337" s="63">
        <v>7.00640187E8</v>
      </c>
      <c r="E337" s="63" t="s">
        <v>717</v>
      </c>
      <c r="F337" s="64">
        <v>300000.0</v>
      </c>
      <c r="G337" s="63">
        <v>60.0</v>
      </c>
      <c r="H337" s="26">
        <f t="shared" si="1"/>
        <v>207000</v>
      </c>
      <c r="I337" s="31">
        <f t="shared" si="102"/>
        <v>527000</v>
      </c>
      <c r="J337" s="26">
        <f t="shared" si="101"/>
        <v>8783.333333</v>
      </c>
      <c r="K337" s="81" t="s">
        <v>690</v>
      </c>
      <c r="L337" s="79">
        <v>45980.0</v>
      </c>
      <c r="M337" s="73"/>
      <c r="N337" s="24"/>
      <c r="O337" s="24"/>
      <c r="P337" s="24"/>
      <c r="Q337" s="24"/>
      <c r="R337" s="24"/>
      <c r="S337" s="24"/>
      <c r="T337" s="24"/>
      <c r="U337" s="24"/>
    </row>
    <row r="338">
      <c r="A338" s="63" t="s">
        <v>775</v>
      </c>
      <c r="B338" s="63">
        <v>7.584741E8</v>
      </c>
      <c r="C338" s="63" t="s">
        <v>776</v>
      </c>
      <c r="D338" s="63">
        <v>7.44688119E8</v>
      </c>
      <c r="E338" s="63" t="s">
        <v>502</v>
      </c>
      <c r="F338" s="64">
        <v>100000.0</v>
      </c>
      <c r="G338" s="63">
        <v>30.0</v>
      </c>
      <c r="H338" s="26">
        <f t="shared" si="1"/>
        <v>30000</v>
      </c>
      <c r="I338" s="31">
        <f t="shared" si="102"/>
        <v>150000</v>
      </c>
      <c r="J338" s="26">
        <f t="shared" si="101"/>
        <v>5000</v>
      </c>
      <c r="K338" s="81" t="s">
        <v>690</v>
      </c>
      <c r="L338" s="79">
        <v>45949.0</v>
      </c>
      <c r="M338" s="73"/>
      <c r="N338" s="24"/>
      <c r="O338" s="24"/>
      <c r="P338" s="24"/>
      <c r="Q338" s="24"/>
      <c r="R338" s="24"/>
      <c r="S338" s="24"/>
      <c r="T338" s="24"/>
      <c r="U338" s="24"/>
    </row>
    <row r="339">
      <c r="A339" s="63" t="s">
        <v>777</v>
      </c>
      <c r="B339" s="63">
        <v>7.55587076E8</v>
      </c>
      <c r="C339" s="63" t="s">
        <v>778</v>
      </c>
      <c r="D339" s="63">
        <v>7.59913718E8</v>
      </c>
      <c r="E339" s="63" t="s">
        <v>747</v>
      </c>
      <c r="F339" s="64">
        <v>400000.0</v>
      </c>
      <c r="G339" s="63">
        <v>60.0</v>
      </c>
      <c r="H339" s="26">
        <f t="shared" si="1"/>
        <v>276000</v>
      </c>
      <c r="I339" s="31">
        <f t="shared" si="102"/>
        <v>696000</v>
      </c>
      <c r="J339" s="26">
        <f t="shared" si="101"/>
        <v>11600</v>
      </c>
      <c r="K339" s="81" t="s">
        <v>690</v>
      </c>
      <c r="L339" s="79">
        <v>45980.0</v>
      </c>
      <c r="M339" s="73"/>
      <c r="N339" s="24"/>
      <c r="O339" s="24"/>
      <c r="P339" s="24"/>
      <c r="Q339" s="24"/>
      <c r="R339" s="24"/>
      <c r="S339" s="24"/>
      <c r="T339" s="24"/>
      <c r="U339" s="24"/>
    </row>
    <row r="340">
      <c r="A340" s="63" t="s">
        <v>779</v>
      </c>
      <c r="B340" s="63">
        <v>7.06588188E8</v>
      </c>
      <c r="C340" s="63" t="s">
        <v>780</v>
      </c>
      <c r="D340" s="73"/>
      <c r="E340" s="63" t="s">
        <v>781</v>
      </c>
      <c r="F340" s="64">
        <v>166000.0</v>
      </c>
      <c r="G340" s="63">
        <v>30.0</v>
      </c>
      <c r="H340" s="26">
        <f t="shared" si="1"/>
        <v>49800</v>
      </c>
      <c r="I340" s="31">
        <f t="shared" si="102"/>
        <v>235800</v>
      </c>
      <c r="J340" s="26">
        <f t="shared" si="101"/>
        <v>7860</v>
      </c>
      <c r="K340" s="81" t="s">
        <v>690</v>
      </c>
      <c r="L340" s="79">
        <v>45949.0</v>
      </c>
      <c r="M340" s="73"/>
      <c r="N340" s="24"/>
      <c r="O340" s="24"/>
      <c r="P340" s="24"/>
      <c r="Q340" s="24"/>
      <c r="R340" s="24"/>
      <c r="S340" s="24"/>
      <c r="T340" s="24"/>
      <c r="U340" s="24"/>
    </row>
    <row r="341">
      <c r="A341" s="63" t="s">
        <v>782</v>
      </c>
      <c r="B341" s="63">
        <v>7.58438095E8</v>
      </c>
      <c r="C341" s="63" t="s">
        <v>783</v>
      </c>
      <c r="D341" s="63">
        <v>7.00960278E8</v>
      </c>
      <c r="E341" s="63" t="s">
        <v>784</v>
      </c>
      <c r="F341" s="64">
        <v>600000.0</v>
      </c>
      <c r="G341" s="63">
        <v>30.0</v>
      </c>
      <c r="H341" s="26">
        <f t="shared" si="1"/>
        <v>180000</v>
      </c>
      <c r="I341" s="31">
        <f t="shared" si="102"/>
        <v>800000</v>
      </c>
      <c r="J341" s="26">
        <f t="shared" si="101"/>
        <v>26666.66667</v>
      </c>
      <c r="K341" s="81" t="s">
        <v>785</v>
      </c>
      <c r="L341" s="63" t="s">
        <v>786</v>
      </c>
      <c r="M341" s="73"/>
      <c r="N341" s="24"/>
      <c r="O341" s="24"/>
      <c r="P341" s="24"/>
      <c r="Q341" s="24"/>
      <c r="R341" s="24"/>
      <c r="S341" s="24"/>
      <c r="T341" s="24"/>
      <c r="U341" s="24"/>
    </row>
    <row r="342">
      <c r="A342" s="63" t="s">
        <v>787</v>
      </c>
      <c r="B342" s="63">
        <v>7.90933934E8</v>
      </c>
      <c r="C342" s="63" t="s">
        <v>780</v>
      </c>
      <c r="D342" s="73"/>
      <c r="E342" s="63" t="s">
        <v>26</v>
      </c>
      <c r="F342" s="64">
        <v>120000.0</v>
      </c>
      <c r="G342" s="63">
        <v>30.0</v>
      </c>
      <c r="H342" s="26">
        <f t="shared" si="1"/>
        <v>36000</v>
      </c>
      <c r="I342" s="31">
        <f t="shared" si="102"/>
        <v>176000</v>
      </c>
      <c r="J342" s="26">
        <f t="shared" si="101"/>
        <v>5866.666667</v>
      </c>
      <c r="K342" s="81" t="s">
        <v>788</v>
      </c>
      <c r="L342" s="79">
        <v>45954.0</v>
      </c>
      <c r="M342" s="73"/>
      <c r="N342" s="24"/>
      <c r="O342" s="24"/>
      <c r="P342" s="24"/>
      <c r="Q342" s="24"/>
      <c r="R342" s="24"/>
      <c r="S342" s="24"/>
      <c r="T342" s="24"/>
      <c r="U342" s="24"/>
    </row>
    <row r="343">
      <c r="A343" s="63" t="s">
        <v>789</v>
      </c>
      <c r="B343" s="63">
        <v>7.021434E7</v>
      </c>
      <c r="C343" s="63" t="s">
        <v>790</v>
      </c>
      <c r="D343" s="63">
        <v>7.9241811E7</v>
      </c>
      <c r="E343" s="63" t="s">
        <v>759</v>
      </c>
      <c r="F343" s="64">
        <v>800000.0</v>
      </c>
      <c r="G343" s="63">
        <v>60.0</v>
      </c>
      <c r="H343" s="26">
        <f t="shared" si="1"/>
        <v>552000</v>
      </c>
      <c r="I343" s="31">
        <f t="shared" si="102"/>
        <v>1372000</v>
      </c>
      <c r="J343" s="26">
        <f t="shared" si="101"/>
        <v>22866.66667</v>
      </c>
      <c r="K343" s="81" t="s">
        <v>791</v>
      </c>
      <c r="L343" s="82">
        <v>45935.0</v>
      </c>
      <c r="M343" s="73"/>
      <c r="N343" s="24"/>
      <c r="O343" s="24"/>
      <c r="P343" s="24"/>
      <c r="Q343" s="24"/>
      <c r="R343" s="24"/>
      <c r="S343" s="24"/>
      <c r="T343" s="24"/>
      <c r="U343" s="24"/>
    </row>
    <row r="344">
      <c r="A344" s="63" t="s">
        <v>792</v>
      </c>
      <c r="B344" s="63">
        <v>7.06840262E8</v>
      </c>
      <c r="C344" s="63" t="s">
        <v>793</v>
      </c>
      <c r="D344" s="63">
        <v>7.01081487E8</v>
      </c>
      <c r="E344" s="63" t="s">
        <v>123</v>
      </c>
      <c r="F344" s="64">
        <v>600000.0</v>
      </c>
      <c r="G344" s="63">
        <v>30.0</v>
      </c>
      <c r="H344" s="26">
        <f t="shared" si="1"/>
        <v>180000</v>
      </c>
      <c r="I344" s="31">
        <f t="shared" si="102"/>
        <v>800000</v>
      </c>
      <c r="J344" s="26">
        <f t="shared" si="101"/>
        <v>26666.66667</v>
      </c>
      <c r="K344" s="81" t="s">
        <v>791</v>
      </c>
      <c r="L344" s="82">
        <v>45935.0</v>
      </c>
      <c r="M344" s="73"/>
      <c r="N344" s="24"/>
      <c r="O344" s="24"/>
      <c r="P344" s="24"/>
      <c r="Q344" s="24"/>
      <c r="R344" s="24"/>
      <c r="S344" s="24"/>
      <c r="T344" s="24"/>
      <c r="U344" s="24"/>
    </row>
    <row r="345">
      <c r="A345" s="63" t="s">
        <v>794</v>
      </c>
      <c r="B345" s="63">
        <v>7.6142341E7</v>
      </c>
      <c r="C345" s="63" t="s">
        <v>795</v>
      </c>
      <c r="D345" s="63">
        <v>7.041192E7</v>
      </c>
      <c r="E345" s="63" t="s">
        <v>759</v>
      </c>
      <c r="F345" s="64">
        <v>800000.0</v>
      </c>
      <c r="G345" s="63">
        <v>60.0</v>
      </c>
      <c r="H345" s="26">
        <f t="shared" si="1"/>
        <v>552000</v>
      </c>
      <c r="I345" s="31">
        <f t="shared" si="102"/>
        <v>1372000</v>
      </c>
      <c r="J345" s="26">
        <f t="shared" si="101"/>
        <v>22866.66667</v>
      </c>
      <c r="K345" s="81" t="s">
        <v>791</v>
      </c>
      <c r="L345" s="82">
        <v>45935.0</v>
      </c>
      <c r="M345" s="73"/>
      <c r="N345" s="24"/>
      <c r="O345" s="24"/>
      <c r="P345" s="24"/>
      <c r="Q345" s="24"/>
      <c r="R345" s="24"/>
      <c r="S345" s="24"/>
      <c r="T345" s="24"/>
      <c r="U345" s="24"/>
    </row>
    <row r="346">
      <c r="A346" s="63" t="s">
        <v>796</v>
      </c>
      <c r="B346" s="63">
        <v>7.45775005E8</v>
      </c>
      <c r="C346" s="63" t="s">
        <v>584</v>
      </c>
      <c r="D346" s="63">
        <v>7.00614169E8</v>
      </c>
      <c r="E346" s="63" t="s">
        <v>797</v>
      </c>
      <c r="F346" s="64">
        <v>300000.0</v>
      </c>
      <c r="G346" s="63">
        <v>30.0</v>
      </c>
      <c r="H346" s="26">
        <f t="shared" si="1"/>
        <v>90000</v>
      </c>
      <c r="I346" s="31">
        <f t="shared" si="102"/>
        <v>410000</v>
      </c>
      <c r="J346" s="26">
        <f t="shared" si="101"/>
        <v>13666.66667</v>
      </c>
      <c r="K346" s="81" t="s">
        <v>791</v>
      </c>
      <c r="L346" s="82">
        <v>45935.0</v>
      </c>
      <c r="M346" s="73"/>
      <c r="N346" s="24"/>
      <c r="O346" s="24"/>
      <c r="P346" s="24"/>
      <c r="Q346" s="24"/>
      <c r="R346" s="24"/>
      <c r="S346" s="24"/>
      <c r="T346" s="24"/>
      <c r="U346" s="24"/>
    </row>
    <row r="347">
      <c r="A347" s="63" t="s">
        <v>798</v>
      </c>
      <c r="B347" s="63">
        <v>7.59514728E8</v>
      </c>
      <c r="C347" s="63" t="s">
        <v>799</v>
      </c>
      <c r="D347" s="63">
        <v>7.59514728E8</v>
      </c>
      <c r="E347" s="63" t="s">
        <v>734</v>
      </c>
      <c r="F347" s="64">
        <v>300000.0</v>
      </c>
      <c r="G347" s="63">
        <v>30.0</v>
      </c>
      <c r="H347" s="26">
        <f t="shared" si="1"/>
        <v>90000</v>
      </c>
      <c r="I347" s="31">
        <f t="shared" si="102"/>
        <v>410000</v>
      </c>
      <c r="J347" s="26">
        <f t="shared" si="101"/>
        <v>13666.66667</v>
      </c>
      <c r="K347" s="81" t="s">
        <v>791</v>
      </c>
      <c r="L347" s="82">
        <v>45935.0</v>
      </c>
      <c r="M347" s="73"/>
      <c r="N347" s="24"/>
      <c r="O347" s="24"/>
      <c r="P347" s="24"/>
      <c r="Q347" s="24"/>
      <c r="R347" s="24"/>
      <c r="S347" s="24"/>
      <c r="T347" s="24"/>
      <c r="U347" s="24"/>
    </row>
    <row r="348">
      <c r="A348" s="63" t="s">
        <v>800</v>
      </c>
      <c r="B348" s="63">
        <v>7.0120314E7</v>
      </c>
      <c r="C348" s="63" t="s">
        <v>801</v>
      </c>
      <c r="D348" s="63">
        <v>7.019921E7</v>
      </c>
      <c r="E348" s="63" t="s">
        <v>762</v>
      </c>
      <c r="F348" s="64">
        <v>400000.0</v>
      </c>
      <c r="G348" s="63">
        <v>30.0</v>
      </c>
      <c r="H348" s="26">
        <f t="shared" si="1"/>
        <v>120000</v>
      </c>
      <c r="I348" s="31">
        <f t="shared" si="102"/>
        <v>540000</v>
      </c>
      <c r="J348" s="26">
        <f t="shared" si="101"/>
        <v>18000</v>
      </c>
      <c r="K348" s="83">
        <v>45937.0</v>
      </c>
      <c r="L348" s="82">
        <v>45968.0</v>
      </c>
      <c r="M348" s="73"/>
      <c r="N348" s="24"/>
      <c r="O348" s="24"/>
      <c r="P348" s="24"/>
      <c r="Q348" s="24"/>
      <c r="R348" s="24"/>
      <c r="S348" s="24"/>
      <c r="T348" s="24"/>
      <c r="U348" s="24"/>
    </row>
    <row r="349">
      <c r="A349" s="63" t="s">
        <v>802</v>
      </c>
      <c r="B349" s="63">
        <v>7.08786703E8</v>
      </c>
      <c r="C349" s="63" t="s">
        <v>803</v>
      </c>
      <c r="D349" s="63">
        <v>7.59979594E8</v>
      </c>
      <c r="E349" s="63" t="s">
        <v>60</v>
      </c>
      <c r="F349" s="64">
        <v>200000.0</v>
      </c>
      <c r="G349" s="63">
        <v>60.0</v>
      </c>
      <c r="H349" s="26">
        <f t="shared" si="1"/>
        <v>138000</v>
      </c>
      <c r="I349" s="31">
        <f t="shared" si="102"/>
        <v>358000</v>
      </c>
      <c r="J349" s="26">
        <f t="shared" si="101"/>
        <v>5966.666667</v>
      </c>
      <c r="K349" s="81" t="s">
        <v>804</v>
      </c>
      <c r="L349" s="63" t="s">
        <v>805</v>
      </c>
      <c r="M349" s="73"/>
      <c r="N349" s="24"/>
      <c r="O349" s="24"/>
      <c r="P349" s="24"/>
      <c r="Q349" s="24"/>
      <c r="R349" s="24"/>
      <c r="S349" s="24"/>
      <c r="T349" s="24"/>
      <c r="U349" s="24"/>
    </row>
    <row r="350">
      <c r="A350" s="63" t="s">
        <v>806</v>
      </c>
      <c r="B350" s="63">
        <v>7.59977531E8</v>
      </c>
      <c r="C350" s="63" t="s">
        <v>807</v>
      </c>
      <c r="D350" s="63">
        <v>7.00419632E8</v>
      </c>
      <c r="E350" s="63" t="s">
        <v>781</v>
      </c>
      <c r="F350" s="64">
        <v>100000.0</v>
      </c>
      <c r="G350" s="63">
        <v>30.0</v>
      </c>
      <c r="H350" s="26">
        <f t="shared" si="1"/>
        <v>30000</v>
      </c>
      <c r="I350" s="31">
        <f t="shared" si="102"/>
        <v>150000</v>
      </c>
      <c r="J350" s="26">
        <f t="shared" si="101"/>
        <v>5000</v>
      </c>
      <c r="K350" s="81" t="s">
        <v>804</v>
      </c>
      <c r="L350" s="82">
        <v>45970.0</v>
      </c>
      <c r="M350" s="73"/>
      <c r="N350" s="24"/>
      <c r="O350" s="24"/>
      <c r="P350" s="24"/>
      <c r="Q350" s="24"/>
      <c r="R350" s="24"/>
      <c r="S350" s="24"/>
      <c r="T350" s="24"/>
      <c r="U350" s="24"/>
    </row>
    <row r="351">
      <c r="A351" s="63" t="s">
        <v>808</v>
      </c>
      <c r="B351" s="63">
        <v>7.84872516E8</v>
      </c>
      <c r="C351" s="63" t="s">
        <v>809</v>
      </c>
      <c r="D351" s="63">
        <v>7.04761178E8</v>
      </c>
      <c r="E351" s="63" t="s">
        <v>123</v>
      </c>
      <c r="F351" s="64">
        <v>200000.0</v>
      </c>
      <c r="G351" s="63">
        <v>30.0</v>
      </c>
      <c r="H351" s="26">
        <f t="shared" si="1"/>
        <v>60000</v>
      </c>
      <c r="I351" s="31">
        <f t="shared" si="102"/>
        <v>280000</v>
      </c>
      <c r="J351" s="26">
        <f t="shared" si="101"/>
        <v>9333.333333</v>
      </c>
      <c r="K351" s="81" t="s">
        <v>804</v>
      </c>
      <c r="L351" s="82">
        <v>45970.0</v>
      </c>
      <c r="M351" s="73"/>
      <c r="N351" s="24"/>
      <c r="O351" s="24"/>
      <c r="P351" s="24"/>
      <c r="Q351" s="24"/>
      <c r="R351" s="24"/>
      <c r="S351" s="24"/>
      <c r="T351" s="24"/>
      <c r="U351" s="24"/>
    </row>
    <row r="352">
      <c r="A352" s="63" t="s">
        <v>810</v>
      </c>
      <c r="B352" s="63">
        <v>7.42206441E8</v>
      </c>
      <c r="C352" s="63" t="s">
        <v>811</v>
      </c>
      <c r="D352" s="63">
        <v>7.03647688E8</v>
      </c>
      <c r="E352" s="63" t="s">
        <v>812</v>
      </c>
      <c r="F352" s="64">
        <v>100000.0</v>
      </c>
      <c r="G352" s="63">
        <v>30.0</v>
      </c>
      <c r="H352" s="26">
        <f t="shared" si="1"/>
        <v>30000</v>
      </c>
      <c r="I352" s="31">
        <f t="shared" si="102"/>
        <v>150000</v>
      </c>
      <c r="J352" s="26">
        <f t="shared" si="101"/>
        <v>5000</v>
      </c>
      <c r="K352" s="81" t="s">
        <v>804</v>
      </c>
      <c r="L352" s="82">
        <v>45970.0</v>
      </c>
      <c r="M352" s="73"/>
      <c r="N352" s="24"/>
      <c r="O352" s="24"/>
      <c r="P352" s="24"/>
      <c r="Q352" s="24"/>
      <c r="R352" s="24"/>
      <c r="S352" s="24"/>
      <c r="T352" s="24"/>
      <c r="U352" s="24"/>
    </row>
    <row r="353">
      <c r="A353" s="63" t="s">
        <v>84</v>
      </c>
      <c r="B353" s="63">
        <v>7.70432534E8</v>
      </c>
      <c r="C353" s="63" t="s">
        <v>813</v>
      </c>
      <c r="D353" s="63">
        <v>7.02240576E8</v>
      </c>
      <c r="E353" s="63" t="s">
        <v>60</v>
      </c>
      <c r="F353" s="64">
        <v>800000.0</v>
      </c>
      <c r="G353" s="63">
        <v>60.0</v>
      </c>
      <c r="H353" s="26">
        <f t="shared" si="1"/>
        <v>552000</v>
      </c>
      <c r="I353" s="31">
        <f t="shared" si="102"/>
        <v>1372000</v>
      </c>
      <c r="J353" s="26">
        <f t="shared" si="101"/>
        <v>22866.66667</v>
      </c>
      <c r="K353" s="81" t="s">
        <v>804</v>
      </c>
      <c r="L353" s="63" t="s">
        <v>805</v>
      </c>
      <c r="M353" s="73"/>
      <c r="N353" s="24"/>
      <c r="O353" s="24"/>
      <c r="P353" s="24"/>
      <c r="Q353" s="24"/>
      <c r="R353" s="24"/>
      <c r="S353" s="24"/>
      <c r="T353" s="24"/>
      <c r="U353" s="24"/>
    </row>
    <row r="354">
      <c r="A354" s="63" t="s">
        <v>814</v>
      </c>
      <c r="B354" s="63">
        <v>7.05926169E8</v>
      </c>
      <c r="C354" s="63" t="s">
        <v>815</v>
      </c>
      <c r="D354" s="63">
        <v>7.5098595E8</v>
      </c>
      <c r="E354" s="63" t="s">
        <v>123</v>
      </c>
      <c r="F354" s="64">
        <v>500000.0</v>
      </c>
      <c r="G354" s="63">
        <v>60.0</v>
      </c>
      <c r="H354" s="26">
        <f t="shared" si="1"/>
        <v>345000</v>
      </c>
      <c r="I354" s="31">
        <f t="shared" si="102"/>
        <v>865000</v>
      </c>
      <c r="J354" s="26">
        <f t="shared" si="101"/>
        <v>14416.66667</v>
      </c>
      <c r="K354" s="85">
        <v>45940.0</v>
      </c>
      <c r="L354" s="79">
        <v>46001.0</v>
      </c>
      <c r="M354" s="73"/>
      <c r="N354" s="24"/>
      <c r="O354" s="24"/>
      <c r="P354" s="24"/>
      <c r="Q354" s="24"/>
      <c r="R354" s="24"/>
      <c r="S354" s="24"/>
      <c r="T354" s="24"/>
      <c r="U354" s="24"/>
    </row>
    <row r="355">
      <c r="A355" s="63" t="s">
        <v>816</v>
      </c>
      <c r="B355" s="63">
        <v>7.75197087E8</v>
      </c>
      <c r="C355" s="63" t="s">
        <v>780</v>
      </c>
      <c r="D355" s="63"/>
      <c r="E355" s="63" t="s">
        <v>123</v>
      </c>
      <c r="F355" s="64">
        <v>180000.0</v>
      </c>
      <c r="G355" s="63">
        <v>30.0</v>
      </c>
      <c r="H355" s="26">
        <f t="shared" si="1"/>
        <v>54000</v>
      </c>
      <c r="I355" s="31">
        <f t="shared" si="102"/>
        <v>254000</v>
      </c>
      <c r="J355" s="26">
        <f t="shared" si="101"/>
        <v>8466.666667</v>
      </c>
      <c r="K355" s="81" t="s">
        <v>804</v>
      </c>
      <c r="L355" s="82">
        <v>45970.0</v>
      </c>
      <c r="M355" s="73"/>
      <c r="N355" s="24"/>
      <c r="O355" s="24"/>
      <c r="P355" s="24"/>
      <c r="Q355" s="24"/>
      <c r="R355" s="24"/>
      <c r="S355" s="24"/>
      <c r="T355" s="24"/>
      <c r="U355" s="24"/>
    </row>
    <row r="356">
      <c r="A356" s="63" t="s">
        <v>817</v>
      </c>
      <c r="B356" s="63">
        <v>7.07316302E8</v>
      </c>
      <c r="C356" s="63" t="s">
        <v>818</v>
      </c>
      <c r="D356" s="63">
        <v>7.5577776E7</v>
      </c>
      <c r="E356" s="63" t="s">
        <v>26</v>
      </c>
      <c r="F356" s="64">
        <v>180000.0</v>
      </c>
      <c r="G356" s="63">
        <v>30.0</v>
      </c>
      <c r="H356" s="26">
        <f t="shared" si="1"/>
        <v>54000</v>
      </c>
      <c r="I356" s="31">
        <f t="shared" si="102"/>
        <v>254000</v>
      </c>
      <c r="J356" s="26">
        <f t="shared" si="101"/>
        <v>8466.666667</v>
      </c>
      <c r="K356" s="85">
        <v>45944.0</v>
      </c>
      <c r="L356" s="79">
        <v>45975.0</v>
      </c>
      <c r="M356" s="73"/>
      <c r="N356" s="24"/>
      <c r="O356" s="24"/>
      <c r="P356" s="24"/>
      <c r="Q356" s="24"/>
      <c r="R356" s="24"/>
      <c r="S356" s="24"/>
      <c r="T356" s="24"/>
      <c r="U356" s="24"/>
    </row>
    <row r="357">
      <c r="A357" s="63" t="s">
        <v>819</v>
      </c>
      <c r="B357" s="63">
        <v>7.70712312E8</v>
      </c>
      <c r="C357" s="63" t="s">
        <v>820</v>
      </c>
      <c r="D357" s="63">
        <v>7.09580917E8</v>
      </c>
      <c r="E357" s="63" t="s">
        <v>320</v>
      </c>
      <c r="F357" s="64">
        <v>200000.0</v>
      </c>
      <c r="G357" s="63">
        <v>30.0</v>
      </c>
      <c r="H357" s="26">
        <f t="shared" si="1"/>
        <v>60000</v>
      </c>
      <c r="I357" s="22">
        <v>270000.0</v>
      </c>
      <c r="J357" s="26">
        <f t="shared" si="101"/>
        <v>9000</v>
      </c>
      <c r="K357" s="85">
        <v>45944.0</v>
      </c>
      <c r="L357" s="79">
        <v>45975.0</v>
      </c>
      <c r="M357" s="73"/>
      <c r="N357" s="24"/>
      <c r="O357" s="24"/>
      <c r="P357" s="24"/>
      <c r="Q357" s="24"/>
      <c r="R357" s="24"/>
      <c r="S357" s="24"/>
      <c r="T357" s="24"/>
      <c r="U357" s="24"/>
    </row>
    <row r="358">
      <c r="A358" s="63" t="s">
        <v>821</v>
      </c>
      <c r="B358" s="63">
        <v>7.66843916E8</v>
      </c>
      <c r="C358" s="63" t="s">
        <v>822</v>
      </c>
      <c r="D358" s="63">
        <v>7.55771476E8</v>
      </c>
      <c r="E358" s="63" t="s">
        <v>123</v>
      </c>
      <c r="F358" s="64">
        <v>300000.0</v>
      </c>
      <c r="G358" s="63">
        <v>30.0</v>
      </c>
      <c r="H358" s="26">
        <f t="shared" si="1"/>
        <v>90000</v>
      </c>
      <c r="I358" s="31">
        <f t="shared" ref="I358:I367" si="103">F358*(1+0.3)^(G358/30)+20000</f>
        <v>410000</v>
      </c>
      <c r="J358" s="26">
        <f t="shared" si="101"/>
        <v>13666.66667</v>
      </c>
      <c r="K358" s="85">
        <v>45944.0</v>
      </c>
      <c r="L358" s="79">
        <v>45975.0</v>
      </c>
      <c r="M358" s="73"/>
      <c r="N358" s="24"/>
      <c r="O358" s="24"/>
      <c r="P358" s="24"/>
      <c r="Q358" s="24"/>
      <c r="R358" s="24"/>
      <c r="S358" s="24"/>
      <c r="T358" s="24"/>
      <c r="U358" s="24"/>
    </row>
    <row r="359">
      <c r="A359" s="63" t="s">
        <v>823</v>
      </c>
      <c r="B359" s="63">
        <v>7.0712347E7</v>
      </c>
      <c r="C359" s="63" t="s">
        <v>824</v>
      </c>
      <c r="D359" s="63">
        <v>7.04800719E8</v>
      </c>
      <c r="E359" s="63" t="s">
        <v>784</v>
      </c>
      <c r="F359" s="64">
        <v>800000.0</v>
      </c>
      <c r="G359" s="63">
        <v>60.0</v>
      </c>
      <c r="H359" s="26">
        <f t="shared" si="1"/>
        <v>552000</v>
      </c>
      <c r="I359" s="31">
        <f t="shared" si="103"/>
        <v>1372000</v>
      </c>
      <c r="J359" s="26">
        <f t="shared" si="101"/>
        <v>22866.66667</v>
      </c>
      <c r="K359" s="85">
        <v>45947.0</v>
      </c>
      <c r="L359" s="79">
        <v>46008.0</v>
      </c>
      <c r="M359" s="73"/>
      <c r="N359" s="24"/>
      <c r="O359" s="24"/>
      <c r="P359" s="24"/>
      <c r="Q359" s="24"/>
      <c r="R359" s="24"/>
      <c r="S359" s="24"/>
      <c r="T359" s="24"/>
      <c r="U359" s="24"/>
    </row>
    <row r="360">
      <c r="A360" s="63" t="s">
        <v>825</v>
      </c>
      <c r="B360" s="63">
        <v>7.0911432E7</v>
      </c>
      <c r="C360" s="63" t="s">
        <v>826</v>
      </c>
      <c r="D360" s="63">
        <v>7.5261934E8</v>
      </c>
      <c r="E360" s="63" t="s">
        <v>123</v>
      </c>
      <c r="F360" s="64">
        <v>800000.0</v>
      </c>
      <c r="G360" s="63">
        <v>60.0</v>
      </c>
      <c r="H360" s="26">
        <f t="shared" si="1"/>
        <v>552000</v>
      </c>
      <c r="I360" s="31">
        <f t="shared" si="103"/>
        <v>1372000</v>
      </c>
      <c r="J360" s="26">
        <f t="shared" si="101"/>
        <v>22866.66667</v>
      </c>
      <c r="K360" s="85">
        <v>45947.0</v>
      </c>
      <c r="L360" s="79">
        <v>46008.0</v>
      </c>
      <c r="M360" s="73"/>
      <c r="N360" s="24"/>
      <c r="O360" s="24"/>
      <c r="P360" s="24"/>
      <c r="Q360" s="24"/>
      <c r="R360" s="24"/>
      <c r="S360" s="24"/>
      <c r="T360" s="24"/>
      <c r="U360" s="24"/>
    </row>
    <row r="361">
      <c r="A361" s="63" t="s">
        <v>827</v>
      </c>
      <c r="B361" s="63">
        <v>7.51818512E8</v>
      </c>
      <c r="C361" s="63" t="s">
        <v>828</v>
      </c>
      <c r="D361" s="63">
        <v>7.00615321E8</v>
      </c>
      <c r="E361" s="63" t="s">
        <v>123</v>
      </c>
      <c r="F361" s="64">
        <v>300000.0</v>
      </c>
      <c r="G361" s="63">
        <v>60.0</v>
      </c>
      <c r="H361" s="26">
        <f t="shared" si="1"/>
        <v>207000</v>
      </c>
      <c r="I361" s="31">
        <f t="shared" si="103"/>
        <v>527000</v>
      </c>
      <c r="J361" s="26">
        <f t="shared" si="101"/>
        <v>8783.333333</v>
      </c>
      <c r="K361" s="85">
        <v>45947.0</v>
      </c>
      <c r="L361" s="79">
        <v>46008.0</v>
      </c>
      <c r="M361" s="73"/>
      <c r="N361" s="24"/>
      <c r="O361" s="24"/>
      <c r="P361" s="24"/>
      <c r="Q361" s="24"/>
      <c r="R361" s="24"/>
      <c r="S361" s="24"/>
      <c r="T361" s="24"/>
      <c r="U361" s="24"/>
    </row>
    <row r="362">
      <c r="A362" s="63" t="s">
        <v>829</v>
      </c>
      <c r="B362" s="63">
        <v>7.00111576E8</v>
      </c>
      <c r="C362" s="63" t="s">
        <v>830</v>
      </c>
      <c r="D362" s="63">
        <v>7.63132901E8</v>
      </c>
      <c r="E362" s="63" t="s">
        <v>747</v>
      </c>
      <c r="F362" s="64">
        <v>400000.0</v>
      </c>
      <c r="G362" s="63">
        <v>30.0</v>
      </c>
      <c r="H362" s="26">
        <f t="shared" si="1"/>
        <v>120000</v>
      </c>
      <c r="I362" s="31">
        <f t="shared" si="103"/>
        <v>540000</v>
      </c>
      <c r="J362" s="26">
        <f t="shared" si="101"/>
        <v>18000</v>
      </c>
      <c r="K362" s="85">
        <v>45947.0</v>
      </c>
      <c r="L362" s="79">
        <v>45978.0</v>
      </c>
      <c r="M362" s="73"/>
      <c r="N362" s="24"/>
      <c r="O362" s="24"/>
      <c r="P362" s="24"/>
      <c r="Q362" s="24"/>
      <c r="R362" s="24"/>
      <c r="S362" s="24"/>
      <c r="T362" s="24"/>
      <c r="U362" s="24"/>
    </row>
    <row r="363">
      <c r="A363" s="63" t="s">
        <v>831</v>
      </c>
      <c r="B363" s="63">
        <v>7.06256742E8</v>
      </c>
      <c r="C363" s="63" t="s">
        <v>832</v>
      </c>
      <c r="D363" s="63">
        <v>7.53220333E8</v>
      </c>
      <c r="E363" s="63" t="s">
        <v>717</v>
      </c>
      <c r="F363" s="64">
        <v>200000.0</v>
      </c>
      <c r="G363" s="63">
        <v>30.0</v>
      </c>
      <c r="H363" s="26">
        <f t="shared" si="1"/>
        <v>60000</v>
      </c>
      <c r="I363" s="31">
        <f t="shared" si="103"/>
        <v>280000</v>
      </c>
      <c r="J363" s="26">
        <f t="shared" si="101"/>
        <v>9333.333333</v>
      </c>
      <c r="K363" s="85">
        <v>45951.0</v>
      </c>
      <c r="L363" s="79">
        <v>45982.0</v>
      </c>
      <c r="M363" s="73"/>
      <c r="N363" s="24"/>
      <c r="O363" s="24"/>
      <c r="P363" s="24"/>
      <c r="Q363" s="24"/>
      <c r="R363" s="24"/>
      <c r="S363" s="24"/>
      <c r="T363" s="24"/>
      <c r="U363" s="24"/>
    </row>
    <row r="364">
      <c r="A364" s="63" t="s">
        <v>833</v>
      </c>
      <c r="B364" s="63">
        <v>7.03648366E8</v>
      </c>
      <c r="C364" s="63" t="s">
        <v>834</v>
      </c>
      <c r="D364" s="63">
        <v>7.5846041E7</v>
      </c>
      <c r="E364" s="63" t="s">
        <v>123</v>
      </c>
      <c r="F364" s="64">
        <v>500000.0</v>
      </c>
      <c r="G364" s="63">
        <v>30.0</v>
      </c>
      <c r="H364" s="26">
        <f t="shared" si="1"/>
        <v>150000</v>
      </c>
      <c r="I364" s="31">
        <f t="shared" si="103"/>
        <v>670000</v>
      </c>
      <c r="J364" s="26">
        <f t="shared" si="101"/>
        <v>22333.33333</v>
      </c>
      <c r="K364" s="85">
        <v>45951.0</v>
      </c>
      <c r="L364" s="79">
        <v>45982.0</v>
      </c>
      <c r="M364" s="73"/>
      <c r="N364" s="24"/>
      <c r="O364" s="24"/>
      <c r="P364" s="24"/>
      <c r="Q364" s="24"/>
      <c r="R364" s="24"/>
      <c r="S364" s="24"/>
      <c r="T364" s="24"/>
      <c r="U364" s="24"/>
    </row>
    <row r="365">
      <c r="A365" s="63" t="s">
        <v>835</v>
      </c>
      <c r="B365" s="63">
        <v>7.72492293E8</v>
      </c>
      <c r="C365" s="63" t="s">
        <v>836</v>
      </c>
      <c r="D365" s="63">
        <v>7.75163714E8</v>
      </c>
      <c r="E365" s="63" t="s">
        <v>320</v>
      </c>
      <c r="F365" s="64">
        <v>150000.0</v>
      </c>
      <c r="G365" s="63">
        <v>30.0</v>
      </c>
      <c r="H365" s="26">
        <f t="shared" si="1"/>
        <v>45000</v>
      </c>
      <c r="I365" s="31">
        <f t="shared" si="103"/>
        <v>215000</v>
      </c>
      <c r="J365" s="26">
        <f t="shared" si="101"/>
        <v>7166.666667</v>
      </c>
      <c r="K365" s="85">
        <v>45952.0</v>
      </c>
      <c r="L365" s="79">
        <v>45983.0</v>
      </c>
      <c r="M365" s="73"/>
      <c r="N365" s="24"/>
      <c r="O365" s="24"/>
      <c r="P365" s="24"/>
      <c r="Q365" s="24"/>
      <c r="R365" s="24"/>
      <c r="S365" s="24"/>
      <c r="T365" s="24"/>
      <c r="U365" s="24"/>
    </row>
    <row r="366">
      <c r="A366" s="63" t="s">
        <v>837</v>
      </c>
      <c r="B366" s="63">
        <v>7.56974096E8</v>
      </c>
      <c r="C366" s="63" t="s">
        <v>838</v>
      </c>
      <c r="D366" s="63">
        <v>7.57740021E8</v>
      </c>
      <c r="E366" s="63" t="s">
        <v>123</v>
      </c>
      <c r="F366" s="64">
        <v>270000.0</v>
      </c>
      <c r="G366" s="63">
        <v>30.0</v>
      </c>
      <c r="H366" s="26">
        <f t="shared" si="1"/>
        <v>81000</v>
      </c>
      <c r="I366" s="31">
        <f t="shared" si="103"/>
        <v>371000</v>
      </c>
      <c r="J366" s="26">
        <f t="shared" si="101"/>
        <v>12366.66667</v>
      </c>
      <c r="K366" s="85">
        <v>45952.0</v>
      </c>
      <c r="L366" s="79">
        <v>45983.0</v>
      </c>
      <c r="M366" s="73"/>
      <c r="N366" s="24"/>
      <c r="O366" s="24"/>
      <c r="P366" s="24"/>
      <c r="Q366" s="24"/>
      <c r="R366" s="24"/>
      <c r="S366" s="24"/>
      <c r="T366" s="24"/>
      <c r="U366" s="24"/>
    </row>
    <row r="367">
      <c r="A367" s="63" t="s">
        <v>839</v>
      </c>
      <c r="B367" s="63">
        <v>7.69062004E8</v>
      </c>
      <c r="C367" s="63" t="s">
        <v>840</v>
      </c>
      <c r="D367" s="63">
        <v>7.82864586E8</v>
      </c>
      <c r="E367" s="63" t="s">
        <v>320</v>
      </c>
      <c r="F367" s="64">
        <v>150000.0</v>
      </c>
      <c r="G367" s="63">
        <v>30.0</v>
      </c>
      <c r="H367" s="26">
        <f t="shared" si="1"/>
        <v>45000</v>
      </c>
      <c r="I367" s="31">
        <f t="shared" si="103"/>
        <v>215000</v>
      </c>
      <c r="J367" s="26">
        <f t="shared" si="101"/>
        <v>7166.666667</v>
      </c>
      <c r="K367" s="85">
        <v>45952.0</v>
      </c>
      <c r="L367" s="79">
        <v>45983.0</v>
      </c>
      <c r="M367" s="73"/>
      <c r="N367" s="24"/>
      <c r="O367" s="24"/>
      <c r="P367" s="24"/>
      <c r="Q367" s="24"/>
      <c r="R367" s="24"/>
      <c r="S367" s="24"/>
      <c r="T367" s="24"/>
      <c r="U367" s="24"/>
    </row>
    <row r="368">
      <c r="A368" s="73"/>
      <c r="B368" s="73"/>
      <c r="C368" s="73"/>
      <c r="D368" s="73"/>
      <c r="E368" s="73"/>
      <c r="F368" s="87"/>
      <c r="G368" s="73"/>
      <c r="H368" s="73"/>
      <c r="I368" s="73"/>
      <c r="J368" s="73"/>
      <c r="K368" s="73"/>
      <c r="L368" s="73"/>
      <c r="M368" s="73"/>
      <c r="N368" s="24"/>
      <c r="O368" s="24"/>
      <c r="P368" s="24"/>
      <c r="Q368" s="24"/>
      <c r="R368" s="24"/>
      <c r="S368" s="24"/>
      <c r="T368" s="24"/>
      <c r="U368" s="24"/>
    </row>
    <row r="369">
      <c r="A369" s="73"/>
      <c r="B369" s="73"/>
      <c r="C369" s="73"/>
      <c r="D369" s="73"/>
      <c r="E369" s="73"/>
      <c r="F369" s="87"/>
      <c r="G369" s="73"/>
      <c r="H369" s="73"/>
      <c r="I369" s="73"/>
      <c r="J369" s="73"/>
      <c r="K369" s="73"/>
      <c r="L369" s="73"/>
      <c r="M369" s="73"/>
      <c r="N369" s="24"/>
      <c r="O369" s="24"/>
      <c r="P369" s="24"/>
      <c r="Q369" s="24"/>
      <c r="R369" s="24"/>
      <c r="S369" s="24"/>
      <c r="T369" s="24"/>
      <c r="U369" s="24"/>
    </row>
    <row r="370">
      <c r="A370" s="73"/>
      <c r="B370" s="73"/>
      <c r="C370" s="73"/>
      <c r="D370" s="73"/>
      <c r="E370" s="73"/>
      <c r="F370" s="87"/>
      <c r="G370" s="73"/>
      <c r="H370" s="73"/>
      <c r="I370" s="73"/>
      <c r="J370" s="73"/>
      <c r="K370" s="73"/>
      <c r="L370" s="73"/>
      <c r="M370" s="73"/>
      <c r="N370" s="24"/>
      <c r="O370" s="24"/>
      <c r="P370" s="24"/>
      <c r="Q370" s="24"/>
      <c r="R370" s="24"/>
      <c r="S370" s="24"/>
      <c r="T370" s="24"/>
      <c r="U370" s="24"/>
    </row>
    <row r="371">
      <c r="A371" s="73"/>
      <c r="B371" s="73"/>
      <c r="C371" s="73"/>
      <c r="D371" s="73"/>
      <c r="E371" s="73"/>
      <c r="F371" s="87"/>
      <c r="G371" s="73"/>
      <c r="H371" s="73"/>
      <c r="I371" s="73"/>
      <c r="J371" s="73"/>
      <c r="K371" s="73"/>
      <c r="L371" s="73"/>
      <c r="M371" s="73"/>
      <c r="N371" s="24"/>
      <c r="O371" s="24"/>
      <c r="P371" s="24"/>
      <c r="Q371" s="24"/>
      <c r="R371" s="24"/>
      <c r="S371" s="24"/>
      <c r="T371" s="24"/>
      <c r="U371" s="24"/>
    </row>
    <row r="372">
      <c r="A372" s="73"/>
      <c r="B372" s="73"/>
      <c r="C372" s="73"/>
      <c r="D372" s="73"/>
      <c r="E372" s="73"/>
      <c r="F372" s="87"/>
      <c r="G372" s="73"/>
      <c r="H372" s="73"/>
      <c r="I372" s="73"/>
      <c r="J372" s="73"/>
      <c r="K372" s="73"/>
      <c r="L372" s="73"/>
      <c r="M372" s="73"/>
      <c r="N372" s="24"/>
      <c r="O372" s="24"/>
      <c r="P372" s="24"/>
      <c r="Q372" s="24"/>
      <c r="R372" s="24"/>
      <c r="S372" s="24"/>
      <c r="T372" s="24"/>
      <c r="U372" s="24"/>
    </row>
    <row r="373">
      <c r="A373" s="73"/>
      <c r="B373" s="73"/>
      <c r="C373" s="73"/>
      <c r="D373" s="73"/>
      <c r="E373" s="73"/>
      <c r="F373" s="87"/>
      <c r="G373" s="73"/>
      <c r="H373" s="73"/>
      <c r="I373" s="73"/>
      <c r="J373" s="73"/>
      <c r="K373" s="73"/>
      <c r="L373" s="73"/>
      <c r="M373" s="73"/>
      <c r="N373" s="24"/>
      <c r="O373" s="24"/>
      <c r="P373" s="24"/>
      <c r="Q373" s="24"/>
      <c r="R373" s="24"/>
      <c r="S373" s="24"/>
      <c r="T373" s="24"/>
      <c r="U373" s="24"/>
    </row>
    <row r="374">
      <c r="A374" s="73"/>
      <c r="B374" s="73"/>
      <c r="C374" s="73"/>
      <c r="D374" s="73"/>
      <c r="E374" s="73"/>
      <c r="F374" s="87"/>
      <c r="G374" s="73"/>
      <c r="H374" s="73"/>
      <c r="I374" s="73"/>
      <c r="J374" s="73"/>
      <c r="K374" s="73"/>
      <c r="L374" s="73"/>
      <c r="M374" s="73"/>
      <c r="N374" s="24"/>
      <c r="O374" s="24"/>
      <c r="P374" s="24"/>
      <c r="Q374" s="24"/>
      <c r="R374" s="24"/>
      <c r="S374" s="24"/>
      <c r="T374" s="24"/>
      <c r="U374" s="24"/>
    </row>
    <row r="375">
      <c r="A375" s="73"/>
      <c r="B375" s="73"/>
      <c r="C375" s="73"/>
      <c r="D375" s="73"/>
      <c r="E375" s="73"/>
      <c r="F375" s="87"/>
      <c r="G375" s="73"/>
      <c r="H375" s="73"/>
      <c r="I375" s="73"/>
      <c r="J375" s="73"/>
      <c r="K375" s="73"/>
      <c r="L375" s="73"/>
      <c r="M375" s="73"/>
      <c r="N375" s="24"/>
      <c r="O375" s="24"/>
      <c r="P375" s="24"/>
      <c r="Q375" s="24"/>
      <c r="R375" s="24"/>
      <c r="S375" s="24"/>
      <c r="T375" s="24"/>
      <c r="U375" s="24"/>
    </row>
    <row r="376">
      <c r="A376" s="73"/>
      <c r="B376" s="73"/>
      <c r="C376" s="73"/>
      <c r="D376" s="73"/>
      <c r="E376" s="73"/>
      <c r="F376" s="87"/>
      <c r="G376" s="73"/>
      <c r="H376" s="73"/>
      <c r="I376" s="73"/>
      <c r="J376" s="73"/>
      <c r="K376" s="73"/>
      <c r="L376" s="73"/>
      <c r="M376" s="73"/>
      <c r="N376" s="24"/>
      <c r="O376" s="24"/>
      <c r="P376" s="24"/>
      <c r="Q376" s="24"/>
      <c r="R376" s="24"/>
      <c r="S376" s="24"/>
      <c r="T376" s="24"/>
      <c r="U376" s="24"/>
    </row>
    <row r="377">
      <c r="A377" s="73"/>
      <c r="B377" s="73"/>
      <c r="C377" s="73"/>
      <c r="D377" s="73"/>
      <c r="E377" s="73"/>
      <c r="F377" s="87"/>
      <c r="G377" s="73"/>
      <c r="H377" s="73"/>
      <c r="I377" s="73"/>
      <c r="J377" s="73"/>
      <c r="K377" s="73"/>
      <c r="L377" s="73"/>
      <c r="M377" s="73"/>
      <c r="N377" s="24"/>
      <c r="O377" s="24"/>
      <c r="P377" s="24"/>
      <c r="Q377" s="24"/>
      <c r="R377" s="24"/>
      <c r="S377" s="24"/>
      <c r="T377" s="24"/>
      <c r="U377" s="24"/>
    </row>
    <row r="378">
      <c r="A378" s="73"/>
      <c r="B378" s="73"/>
      <c r="C378" s="73"/>
      <c r="D378" s="73"/>
      <c r="E378" s="73"/>
      <c r="F378" s="87"/>
      <c r="G378" s="73"/>
      <c r="H378" s="73"/>
      <c r="I378" s="73"/>
      <c r="J378" s="73"/>
      <c r="K378" s="73"/>
      <c r="L378" s="73"/>
      <c r="M378" s="73"/>
      <c r="N378" s="24"/>
      <c r="O378" s="24"/>
      <c r="P378" s="24"/>
      <c r="Q378" s="24"/>
      <c r="R378" s="24"/>
      <c r="S378" s="24"/>
      <c r="T378" s="24"/>
      <c r="U378" s="24"/>
    </row>
    <row r="379">
      <c r="A379" s="73"/>
      <c r="B379" s="73"/>
      <c r="C379" s="73"/>
      <c r="D379" s="73"/>
      <c r="E379" s="73"/>
      <c r="F379" s="87"/>
      <c r="G379" s="73"/>
      <c r="H379" s="73"/>
      <c r="I379" s="73"/>
      <c r="J379" s="73"/>
      <c r="K379" s="73"/>
      <c r="L379" s="73"/>
      <c r="M379" s="73"/>
      <c r="N379" s="24"/>
      <c r="O379" s="24"/>
      <c r="P379" s="24"/>
      <c r="Q379" s="24"/>
      <c r="R379" s="24"/>
      <c r="S379" s="24"/>
      <c r="T379" s="24"/>
      <c r="U379" s="24"/>
    </row>
    <row r="380">
      <c r="A380" s="73"/>
      <c r="B380" s="73"/>
      <c r="C380" s="73"/>
      <c r="D380" s="73"/>
      <c r="E380" s="73"/>
      <c r="F380" s="87"/>
      <c r="G380" s="73"/>
      <c r="H380" s="73"/>
      <c r="I380" s="73"/>
      <c r="J380" s="73"/>
      <c r="K380" s="73"/>
      <c r="L380" s="73"/>
      <c r="M380" s="73"/>
      <c r="N380" s="24"/>
      <c r="O380" s="24"/>
      <c r="P380" s="24"/>
      <c r="Q380" s="24"/>
      <c r="R380" s="24"/>
      <c r="S380" s="24"/>
      <c r="T380" s="24"/>
      <c r="U380" s="24"/>
    </row>
    <row r="381">
      <c r="A381" s="73"/>
      <c r="B381" s="73"/>
      <c r="C381" s="73"/>
      <c r="D381" s="73"/>
      <c r="E381" s="73"/>
      <c r="F381" s="87"/>
      <c r="G381" s="73"/>
      <c r="H381" s="73"/>
      <c r="I381" s="73"/>
      <c r="J381" s="73"/>
      <c r="K381" s="73"/>
      <c r="L381" s="73"/>
      <c r="M381" s="73"/>
      <c r="N381" s="24"/>
      <c r="O381" s="24"/>
      <c r="P381" s="24"/>
      <c r="Q381" s="24"/>
      <c r="R381" s="24"/>
      <c r="S381" s="24"/>
      <c r="T381" s="24"/>
      <c r="U381" s="24"/>
    </row>
    <row r="382">
      <c r="A382" s="73"/>
      <c r="B382" s="73"/>
      <c r="C382" s="73"/>
      <c r="D382" s="73"/>
      <c r="E382" s="73"/>
      <c r="F382" s="87"/>
      <c r="G382" s="73"/>
      <c r="H382" s="73"/>
      <c r="I382" s="73"/>
      <c r="J382" s="73"/>
      <c r="K382" s="73"/>
      <c r="L382" s="73"/>
      <c r="M382" s="73"/>
      <c r="N382" s="24"/>
      <c r="O382" s="24"/>
      <c r="P382" s="24"/>
      <c r="Q382" s="24"/>
      <c r="R382" s="24"/>
      <c r="S382" s="24"/>
      <c r="T382" s="24"/>
      <c r="U382" s="24"/>
    </row>
    <row r="383">
      <c r="A383" s="73"/>
      <c r="B383" s="73"/>
      <c r="C383" s="73"/>
      <c r="D383" s="73"/>
      <c r="E383" s="73"/>
      <c r="F383" s="87"/>
      <c r="G383" s="73"/>
      <c r="H383" s="73"/>
      <c r="I383" s="73"/>
      <c r="J383" s="73"/>
      <c r="K383" s="73"/>
      <c r="L383" s="73"/>
      <c r="M383" s="73"/>
      <c r="N383" s="24"/>
      <c r="O383" s="24"/>
      <c r="P383" s="24"/>
      <c r="Q383" s="24"/>
      <c r="R383" s="24"/>
      <c r="S383" s="24"/>
      <c r="T383" s="24"/>
      <c r="U383" s="24"/>
    </row>
    <row r="384">
      <c r="A384" s="73"/>
      <c r="B384" s="73"/>
      <c r="C384" s="73"/>
      <c r="D384" s="73"/>
      <c r="E384" s="73"/>
      <c r="F384" s="87"/>
      <c r="G384" s="73"/>
      <c r="H384" s="73"/>
      <c r="I384" s="73"/>
      <c r="J384" s="73"/>
      <c r="K384" s="73"/>
      <c r="L384" s="73"/>
      <c r="M384" s="73"/>
      <c r="N384" s="24"/>
      <c r="O384" s="24"/>
      <c r="P384" s="24"/>
      <c r="Q384" s="24"/>
      <c r="R384" s="24"/>
      <c r="S384" s="24"/>
      <c r="T384" s="24"/>
      <c r="U384" s="24"/>
    </row>
    <row r="385">
      <c r="A385" s="73"/>
      <c r="B385" s="73"/>
      <c r="C385" s="73"/>
      <c r="D385" s="73"/>
      <c r="E385" s="73"/>
      <c r="F385" s="87"/>
      <c r="G385" s="73"/>
      <c r="H385" s="73"/>
      <c r="I385" s="73"/>
      <c r="J385" s="73"/>
      <c r="K385" s="73"/>
      <c r="L385" s="73"/>
      <c r="M385" s="73"/>
      <c r="N385" s="24"/>
      <c r="O385" s="24"/>
      <c r="P385" s="24"/>
      <c r="Q385" s="24"/>
      <c r="R385" s="24"/>
      <c r="S385" s="24"/>
      <c r="T385" s="24"/>
      <c r="U385" s="24"/>
    </row>
    <row r="386">
      <c r="A386" s="73"/>
      <c r="B386" s="73"/>
      <c r="C386" s="73"/>
      <c r="D386" s="73"/>
      <c r="E386" s="73"/>
      <c r="F386" s="87"/>
      <c r="G386" s="73"/>
      <c r="H386" s="73"/>
      <c r="I386" s="73"/>
      <c r="J386" s="73"/>
      <c r="K386" s="73"/>
      <c r="L386" s="73"/>
      <c r="M386" s="73"/>
      <c r="N386" s="24"/>
      <c r="O386" s="24"/>
      <c r="P386" s="24"/>
      <c r="Q386" s="24"/>
      <c r="R386" s="24"/>
      <c r="S386" s="24"/>
      <c r="T386" s="24"/>
      <c r="U386" s="24"/>
    </row>
    <row r="387">
      <c r="A387" s="73"/>
      <c r="B387" s="73"/>
      <c r="C387" s="73"/>
      <c r="D387" s="73"/>
      <c r="E387" s="73"/>
      <c r="F387" s="87"/>
      <c r="G387" s="73"/>
      <c r="H387" s="73"/>
      <c r="I387" s="73"/>
      <c r="J387" s="73"/>
      <c r="K387" s="73"/>
      <c r="L387" s="73"/>
      <c r="M387" s="73"/>
      <c r="N387" s="24"/>
      <c r="O387" s="24"/>
      <c r="P387" s="24"/>
      <c r="Q387" s="24"/>
      <c r="R387" s="24"/>
      <c r="S387" s="24"/>
      <c r="T387" s="24"/>
      <c r="U387" s="24"/>
    </row>
    <row r="388">
      <c r="A388" s="73"/>
      <c r="B388" s="73"/>
      <c r="C388" s="73"/>
      <c r="D388" s="73"/>
      <c r="E388" s="73"/>
      <c r="F388" s="87"/>
      <c r="G388" s="73"/>
      <c r="H388" s="73"/>
      <c r="I388" s="73"/>
      <c r="J388" s="73"/>
      <c r="K388" s="73"/>
      <c r="L388" s="73"/>
      <c r="M388" s="73"/>
      <c r="N388" s="24"/>
      <c r="O388" s="24"/>
      <c r="P388" s="24"/>
      <c r="Q388" s="24"/>
      <c r="R388" s="24"/>
      <c r="S388" s="24"/>
      <c r="T388" s="24"/>
      <c r="U388" s="24"/>
    </row>
    <row r="389">
      <c r="A389" s="73"/>
      <c r="B389" s="73"/>
      <c r="C389" s="73"/>
      <c r="D389" s="73"/>
      <c r="E389" s="73"/>
      <c r="F389" s="87"/>
      <c r="G389" s="73"/>
      <c r="H389" s="73"/>
      <c r="I389" s="73"/>
      <c r="J389" s="73"/>
      <c r="K389" s="73"/>
      <c r="L389" s="73"/>
      <c r="M389" s="73"/>
      <c r="N389" s="24"/>
      <c r="O389" s="24"/>
      <c r="P389" s="24"/>
      <c r="Q389" s="24"/>
      <c r="R389" s="24"/>
      <c r="S389" s="24"/>
      <c r="T389" s="24"/>
      <c r="U389" s="24"/>
    </row>
    <row r="390">
      <c r="A390" s="73"/>
      <c r="B390" s="73"/>
      <c r="C390" s="73"/>
      <c r="D390" s="73"/>
      <c r="E390" s="73"/>
      <c r="F390" s="87"/>
      <c r="G390" s="73"/>
      <c r="H390" s="73"/>
      <c r="I390" s="73"/>
      <c r="J390" s="73"/>
      <c r="K390" s="73"/>
      <c r="L390" s="73"/>
      <c r="M390" s="73"/>
      <c r="N390" s="24"/>
      <c r="O390" s="24"/>
      <c r="P390" s="24"/>
      <c r="Q390" s="24"/>
      <c r="R390" s="24"/>
      <c r="S390" s="24"/>
      <c r="T390" s="24"/>
      <c r="U390" s="24"/>
    </row>
    <row r="391">
      <c r="A391" s="73"/>
      <c r="B391" s="73"/>
      <c r="C391" s="73"/>
      <c r="D391" s="73"/>
      <c r="E391" s="73"/>
      <c r="F391" s="87"/>
      <c r="G391" s="73"/>
      <c r="H391" s="73"/>
      <c r="I391" s="73"/>
      <c r="J391" s="73"/>
      <c r="K391" s="73"/>
      <c r="L391" s="73"/>
      <c r="M391" s="73"/>
      <c r="N391" s="24"/>
      <c r="O391" s="24"/>
      <c r="P391" s="24"/>
      <c r="Q391" s="24"/>
      <c r="R391" s="24"/>
      <c r="S391" s="24"/>
      <c r="T391" s="24"/>
      <c r="U391" s="24"/>
    </row>
    <row r="392">
      <c r="A392" s="73"/>
      <c r="B392" s="73"/>
      <c r="C392" s="73"/>
      <c r="D392" s="73"/>
      <c r="E392" s="73"/>
      <c r="F392" s="87"/>
      <c r="G392" s="73"/>
      <c r="H392" s="73"/>
      <c r="I392" s="73"/>
      <c r="J392" s="73"/>
      <c r="K392" s="73"/>
      <c r="L392" s="73"/>
      <c r="M392" s="73"/>
      <c r="N392" s="24"/>
      <c r="O392" s="24"/>
      <c r="P392" s="24"/>
      <c r="Q392" s="24"/>
      <c r="R392" s="24"/>
      <c r="S392" s="24"/>
      <c r="T392" s="24"/>
      <c r="U392" s="24"/>
    </row>
    <row r="393">
      <c r="A393" s="73"/>
      <c r="B393" s="73"/>
      <c r="C393" s="73"/>
      <c r="D393" s="73"/>
      <c r="E393" s="73"/>
      <c r="F393" s="87"/>
      <c r="G393" s="73"/>
      <c r="H393" s="73"/>
      <c r="I393" s="73"/>
      <c r="J393" s="73"/>
      <c r="K393" s="73"/>
      <c r="L393" s="73"/>
      <c r="M393" s="73"/>
      <c r="N393" s="24"/>
      <c r="O393" s="24"/>
      <c r="P393" s="24"/>
      <c r="Q393" s="24"/>
      <c r="R393" s="24"/>
      <c r="S393" s="24"/>
      <c r="T393" s="24"/>
      <c r="U393" s="24"/>
    </row>
    <row r="394">
      <c r="A394" s="73"/>
      <c r="B394" s="73"/>
      <c r="C394" s="73"/>
      <c r="D394" s="73"/>
      <c r="E394" s="73"/>
      <c r="F394" s="87"/>
      <c r="G394" s="73"/>
      <c r="H394" s="73"/>
      <c r="I394" s="73"/>
      <c r="J394" s="73"/>
      <c r="K394" s="73"/>
      <c r="L394" s="73"/>
      <c r="M394" s="73"/>
      <c r="N394" s="24"/>
      <c r="O394" s="24"/>
      <c r="P394" s="24"/>
      <c r="Q394" s="24"/>
      <c r="R394" s="24"/>
      <c r="S394" s="24"/>
      <c r="T394" s="24"/>
      <c r="U394" s="24"/>
    </row>
    <row r="395">
      <c r="A395" s="73"/>
      <c r="B395" s="73"/>
      <c r="C395" s="73"/>
      <c r="D395" s="73"/>
      <c r="E395" s="73"/>
      <c r="F395" s="87"/>
      <c r="G395" s="73"/>
      <c r="H395" s="73"/>
      <c r="I395" s="73"/>
      <c r="J395" s="73"/>
      <c r="K395" s="73"/>
      <c r="L395" s="73"/>
      <c r="M395" s="73"/>
      <c r="N395" s="24"/>
      <c r="O395" s="24"/>
      <c r="P395" s="24"/>
      <c r="Q395" s="24"/>
      <c r="R395" s="24"/>
      <c r="S395" s="24"/>
      <c r="T395" s="24"/>
      <c r="U395" s="24"/>
    </row>
    <row r="396">
      <c r="A396" s="73"/>
      <c r="B396" s="73"/>
      <c r="C396" s="73"/>
      <c r="D396" s="73"/>
      <c r="E396" s="73"/>
      <c r="F396" s="87"/>
      <c r="G396" s="73"/>
      <c r="H396" s="73"/>
      <c r="I396" s="73"/>
      <c r="J396" s="73"/>
      <c r="K396" s="73"/>
      <c r="L396" s="73"/>
      <c r="M396" s="73"/>
      <c r="N396" s="24"/>
      <c r="O396" s="24"/>
      <c r="P396" s="24"/>
      <c r="Q396" s="24"/>
      <c r="R396" s="24"/>
      <c r="S396" s="24"/>
      <c r="T396" s="24"/>
      <c r="U396" s="24"/>
    </row>
    <row r="397">
      <c r="A397" s="73"/>
      <c r="B397" s="73"/>
      <c r="C397" s="73"/>
      <c r="D397" s="73"/>
      <c r="E397" s="73"/>
      <c r="F397" s="87"/>
      <c r="G397" s="73"/>
      <c r="H397" s="73"/>
      <c r="I397" s="73"/>
      <c r="J397" s="73"/>
      <c r="K397" s="73"/>
      <c r="L397" s="73"/>
      <c r="M397" s="73"/>
      <c r="N397" s="24"/>
      <c r="O397" s="24"/>
      <c r="P397" s="24"/>
      <c r="Q397" s="24"/>
      <c r="R397" s="24"/>
      <c r="S397" s="24"/>
      <c r="T397" s="24"/>
      <c r="U397" s="24"/>
    </row>
    <row r="398">
      <c r="A398" s="73"/>
      <c r="B398" s="73"/>
      <c r="C398" s="73"/>
      <c r="D398" s="73"/>
      <c r="E398" s="73"/>
      <c r="F398" s="87"/>
      <c r="G398" s="73"/>
      <c r="H398" s="73"/>
      <c r="I398" s="73"/>
      <c r="J398" s="73"/>
      <c r="K398" s="73"/>
      <c r="L398" s="73"/>
      <c r="M398" s="73"/>
      <c r="N398" s="24"/>
      <c r="O398" s="24"/>
      <c r="P398" s="24"/>
      <c r="Q398" s="24"/>
      <c r="R398" s="24"/>
      <c r="S398" s="24"/>
      <c r="T398" s="24"/>
      <c r="U398" s="24"/>
    </row>
    <row r="399">
      <c r="A399" s="73"/>
      <c r="B399" s="73"/>
      <c r="C399" s="73"/>
      <c r="D399" s="73"/>
      <c r="E399" s="73"/>
      <c r="F399" s="87"/>
      <c r="G399" s="73"/>
      <c r="H399" s="73"/>
      <c r="I399" s="73"/>
      <c r="J399" s="73"/>
      <c r="K399" s="73"/>
      <c r="L399" s="73"/>
      <c r="M399" s="73"/>
      <c r="N399" s="24"/>
      <c r="O399" s="24"/>
      <c r="P399" s="24"/>
      <c r="Q399" s="24"/>
      <c r="R399" s="24"/>
      <c r="S399" s="24"/>
      <c r="T399" s="24"/>
      <c r="U399" s="24"/>
    </row>
    <row r="400">
      <c r="A400" s="73"/>
      <c r="B400" s="73"/>
      <c r="C400" s="73"/>
      <c r="D400" s="73"/>
      <c r="E400" s="73"/>
      <c r="F400" s="87"/>
      <c r="G400" s="73"/>
      <c r="H400" s="73"/>
      <c r="I400" s="73"/>
      <c r="J400" s="73"/>
      <c r="K400" s="73"/>
      <c r="L400" s="73"/>
      <c r="M400" s="73"/>
      <c r="N400" s="24"/>
      <c r="O400" s="24"/>
      <c r="P400" s="24"/>
      <c r="Q400" s="24"/>
      <c r="R400" s="24"/>
      <c r="S400" s="24"/>
      <c r="T400" s="24"/>
      <c r="U400" s="24"/>
    </row>
    <row r="401">
      <c r="A401" s="73"/>
      <c r="B401" s="73"/>
      <c r="C401" s="73"/>
      <c r="D401" s="73"/>
      <c r="E401" s="73"/>
      <c r="F401" s="87"/>
      <c r="G401" s="73"/>
      <c r="H401" s="73"/>
      <c r="I401" s="73"/>
      <c r="J401" s="73"/>
      <c r="K401" s="73"/>
      <c r="L401" s="73"/>
      <c r="M401" s="73"/>
      <c r="N401" s="24"/>
      <c r="O401" s="24"/>
      <c r="P401" s="24"/>
      <c r="Q401" s="24"/>
      <c r="R401" s="24"/>
      <c r="S401" s="24"/>
      <c r="T401" s="24"/>
      <c r="U401" s="24"/>
    </row>
    <row r="402">
      <c r="A402" s="73"/>
      <c r="B402" s="73"/>
      <c r="C402" s="73"/>
      <c r="D402" s="73"/>
      <c r="E402" s="73"/>
      <c r="F402" s="87"/>
      <c r="G402" s="73"/>
      <c r="H402" s="73"/>
      <c r="I402" s="73"/>
      <c r="J402" s="73"/>
      <c r="K402" s="73"/>
      <c r="L402" s="73"/>
      <c r="M402" s="73"/>
      <c r="N402" s="24"/>
      <c r="O402" s="24"/>
      <c r="P402" s="24"/>
      <c r="Q402" s="24"/>
      <c r="R402" s="24"/>
      <c r="S402" s="24"/>
      <c r="T402" s="24"/>
      <c r="U402" s="24"/>
    </row>
    <row r="403">
      <c r="A403" s="73"/>
      <c r="B403" s="73"/>
      <c r="C403" s="73"/>
      <c r="D403" s="73"/>
      <c r="E403" s="73"/>
      <c r="F403" s="87"/>
      <c r="G403" s="73"/>
      <c r="H403" s="73"/>
      <c r="I403" s="73"/>
      <c r="J403" s="73"/>
      <c r="K403" s="73"/>
      <c r="L403" s="73"/>
      <c r="M403" s="73"/>
      <c r="N403" s="24"/>
      <c r="O403" s="24"/>
      <c r="P403" s="24"/>
      <c r="Q403" s="24"/>
      <c r="R403" s="24"/>
      <c r="S403" s="24"/>
      <c r="T403" s="24"/>
      <c r="U403" s="24"/>
    </row>
    <row r="404">
      <c r="A404" s="73"/>
      <c r="B404" s="73"/>
      <c r="C404" s="73"/>
      <c r="D404" s="73"/>
      <c r="E404" s="73"/>
      <c r="F404" s="87"/>
      <c r="G404" s="73"/>
      <c r="H404" s="73"/>
      <c r="I404" s="73"/>
      <c r="J404" s="73"/>
      <c r="K404" s="73"/>
      <c r="L404" s="73"/>
      <c r="M404" s="73"/>
      <c r="N404" s="24"/>
      <c r="O404" s="24"/>
      <c r="P404" s="24"/>
      <c r="Q404" s="24"/>
      <c r="R404" s="24"/>
      <c r="S404" s="24"/>
      <c r="T404" s="24"/>
      <c r="U404" s="24"/>
    </row>
    <row r="405">
      <c r="A405" s="73"/>
      <c r="B405" s="73"/>
      <c r="C405" s="73"/>
      <c r="D405" s="73"/>
      <c r="E405" s="73"/>
      <c r="F405" s="87"/>
      <c r="G405" s="73"/>
      <c r="H405" s="73"/>
      <c r="I405" s="73"/>
      <c r="J405" s="73"/>
      <c r="K405" s="73"/>
      <c r="L405" s="73"/>
      <c r="M405" s="73"/>
      <c r="N405" s="24"/>
      <c r="O405" s="24"/>
      <c r="P405" s="24"/>
      <c r="Q405" s="24"/>
      <c r="R405" s="24"/>
      <c r="S405" s="24"/>
      <c r="T405" s="24"/>
      <c r="U405" s="24"/>
    </row>
    <row r="406">
      <c r="A406" s="73"/>
      <c r="B406" s="73"/>
      <c r="C406" s="73"/>
      <c r="D406" s="73"/>
      <c r="E406" s="73"/>
      <c r="F406" s="87"/>
      <c r="G406" s="73"/>
      <c r="H406" s="73"/>
      <c r="I406" s="73"/>
      <c r="J406" s="73"/>
      <c r="K406" s="73"/>
      <c r="L406" s="73"/>
      <c r="M406" s="73"/>
      <c r="N406" s="24"/>
      <c r="O406" s="24"/>
      <c r="P406" s="24"/>
      <c r="Q406" s="24"/>
      <c r="R406" s="24"/>
      <c r="S406" s="24"/>
      <c r="T406" s="24"/>
      <c r="U406" s="24"/>
    </row>
    <row r="407">
      <c r="A407" s="73"/>
      <c r="B407" s="73"/>
      <c r="C407" s="73"/>
      <c r="D407" s="73"/>
      <c r="E407" s="73"/>
      <c r="F407" s="87"/>
      <c r="G407" s="73"/>
      <c r="H407" s="73"/>
      <c r="I407" s="73"/>
      <c r="J407" s="73"/>
      <c r="K407" s="73"/>
      <c r="L407" s="73"/>
      <c r="M407" s="73"/>
      <c r="N407" s="24"/>
      <c r="O407" s="24"/>
      <c r="P407" s="24"/>
      <c r="Q407" s="24"/>
      <c r="R407" s="24"/>
      <c r="S407" s="24"/>
      <c r="T407" s="24"/>
      <c r="U407" s="24"/>
    </row>
    <row r="408">
      <c r="A408" s="73"/>
      <c r="B408" s="73"/>
      <c r="C408" s="73"/>
      <c r="D408" s="73"/>
      <c r="E408" s="73"/>
      <c r="F408" s="87"/>
      <c r="G408" s="73"/>
      <c r="H408" s="73"/>
      <c r="I408" s="73"/>
      <c r="J408" s="73"/>
      <c r="K408" s="73"/>
      <c r="L408" s="73"/>
      <c r="M408" s="73"/>
      <c r="N408" s="24"/>
      <c r="O408" s="24"/>
      <c r="P408" s="24"/>
      <c r="Q408" s="24"/>
      <c r="R408" s="24"/>
      <c r="S408" s="24"/>
      <c r="T408" s="24"/>
      <c r="U408" s="24"/>
    </row>
    <row r="409">
      <c r="A409" s="73"/>
      <c r="B409" s="73"/>
      <c r="C409" s="73"/>
      <c r="D409" s="73"/>
      <c r="E409" s="73"/>
      <c r="F409" s="87"/>
      <c r="G409" s="73"/>
      <c r="H409" s="73"/>
      <c r="I409" s="73"/>
      <c r="J409" s="73"/>
      <c r="K409" s="73"/>
      <c r="L409" s="73"/>
      <c r="M409" s="73"/>
      <c r="N409" s="24"/>
      <c r="O409" s="24"/>
      <c r="P409" s="24"/>
      <c r="Q409" s="24"/>
      <c r="R409" s="24"/>
      <c r="S409" s="24"/>
      <c r="T409" s="24"/>
      <c r="U409" s="24"/>
    </row>
    <row r="410">
      <c r="A410" s="73"/>
      <c r="B410" s="73"/>
      <c r="C410" s="73"/>
      <c r="D410" s="73"/>
      <c r="E410" s="73"/>
      <c r="F410" s="87"/>
      <c r="G410" s="73"/>
      <c r="H410" s="73"/>
      <c r="I410" s="73"/>
      <c r="J410" s="73"/>
      <c r="K410" s="73"/>
      <c r="L410" s="73"/>
      <c r="M410" s="73"/>
      <c r="N410" s="24"/>
      <c r="O410" s="24"/>
      <c r="P410" s="24"/>
      <c r="Q410" s="24"/>
      <c r="R410" s="24"/>
      <c r="S410" s="24"/>
      <c r="T410" s="24"/>
      <c r="U410" s="24"/>
    </row>
    <row r="411">
      <c r="A411" s="73"/>
      <c r="B411" s="73"/>
      <c r="C411" s="73"/>
      <c r="D411" s="73"/>
      <c r="E411" s="73"/>
      <c r="F411" s="87"/>
      <c r="G411" s="73"/>
      <c r="H411" s="73"/>
      <c r="I411" s="73"/>
      <c r="J411" s="73"/>
      <c r="K411" s="73"/>
      <c r="L411" s="73"/>
      <c r="M411" s="73"/>
      <c r="N411" s="24"/>
      <c r="O411" s="24"/>
      <c r="P411" s="24"/>
      <c r="Q411" s="24"/>
      <c r="R411" s="24"/>
      <c r="S411" s="24"/>
      <c r="T411" s="24"/>
      <c r="U411" s="24"/>
    </row>
    <row r="412">
      <c r="A412" s="73"/>
      <c r="B412" s="73"/>
      <c r="C412" s="73"/>
      <c r="D412" s="73"/>
      <c r="E412" s="73"/>
      <c r="F412" s="87"/>
      <c r="G412" s="73"/>
      <c r="H412" s="73"/>
      <c r="I412" s="73"/>
      <c r="J412" s="73"/>
      <c r="K412" s="73"/>
      <c r="L412" s="73"/>
      <c r="M412" s="73"/>
      <c r="N412" s="24"/>
      <c r="O412" s="24"/>
      <c r="P412" s="24"/>
      <c r="Q412" s="24"/>
      <c r="R412" s="24"/>
      <c r="S412" s="24"/>
      <c r="T412" s="24"/>
      <c r="U412" s="24"/>
    </row>
    <row r="413">
      <c r="A413" s="73"/>
      <c r="B413" s="73"/>
      <c r="C413" s="73"/>
      <c r="D413" s="73"/>
      <c r="E413" s="73"/>
      <c r="F413" s="87"/>
      <c r="G413" s="73"/>
      <c r="H413" s="73"/>
      <c r="I413" s="73"/>
      <c r="J413" s="73"/>
      <c r="K413" s="73"/>
      <c r="L413" s="73"/>
      <c r="M413" s="73"/>
      <c r="N413" s="24"/>
      <c r="O413" s="24"/>
      <c r="P413" s="24"/>
      <c r="Q413" s="24"/>
      <c r="R413" s="24"/>
      <c r="S413" s="24"/>
      <c r="T413" s="24"/>
      <c r="U413" s="24"/>
    </row>
    <row r="414">
      <c r="A414" s="73"/>
      <c r="B414" s="73"/>
      <c r="C414" s="73"/>
      <c r="D414" s="73"/>
      <c r="E414" s="73"/>
      <c r="F414" s="87"/>
      <c r="G414" s="73"/>
      <c r="H414" s="73"/>
      <c r="I414" s="73"/>
      <c r="J414" s="73"/>
      <c r="K414" s="73"/>
      <c r="L414" s="73"/>
      <c r="M414" s="73"/>
      <c r="N414" s="24"/>
      <c r="O414" s="24"/>
      <c r="P414" s="24"/>
      <c r="Q414" s="24"/>
      <c r="R414" s="24"/>
      <c r="S414" s="24"/>
      <c r="T414" s="24"/>
      <c r="U414" s="24"/>
    </row>
    <row r="415">
      <c r="A415" s="73"/>
      <c r="B415" s="73"/>
      <c r="C415" s="73"/>
      <c r="D415" s="73"/>
      <c r="E415" s="73"/>
      <c r="F415" s="87"/>
      <c r="G415" s="73"/>
      <c r="H415" s="73"/>
      <c r="I415" s="73"/>
      <c r="J415" s="73"/>
      <c r="K415" s="73"/>
      <c r="L415" s="73"/>
      <c r="M415" s="73"/>
      <c r="N415" s="24"/>
      <c r="O415" s="24"/>
      <c r="P415" s="24"/>
      <c r="Q415" s="24"/>
      <c r="R415" s="24"/>
      <c r="S415" s="24"/>
      <c r="T415" s="24"/>
      <c r="U415" s="24"/>
    </row>
    <row r="416">
      <c r="A416" s="73"/>
      <c r="B416" s="73"/>
      <c r="C416" s="73"/>
      <c r="D416" s="73"/>
      <c r="E416" s="73"/>
      <c r="F416" s="87"/>
      <c r="G416" s="73"/>
      <c r="H416" s="73"/>
      <c r="I416" s="73"/>
      <c r="J416" s="73"/>
      <c r="K416" s="73"/>
      <c r="L416" s="73"/>
      <c r="M416" s="73"/>
      <c r="N416" s="24"/>
      <c r="O416" s="24"/>
      <c r="P416" s="24"/>
      <c r="Q416" s="24"/>
      <c r="R416" s="24"/>
      <c r="S416" s="24"/>
      <c r="T416" s="24"/>
      <c r="U416" s="24"/>
    </row>
    <row r="417">
      <c r="A417" s="73"/>
      <c r="B417" s="73"/>
      <c r="C417" s="73"/>
      <c r="D417" s="73"/>
      <c r="E417" s="73"/>
      <c r="F417" s="87"/>
      <c r="G417" s="73"/>
      <c r="H417" s="73"/>
      <c r="I417" s="73"/>
      <c r="J417" s="73"/>
      <c r="K417" s="73"/>
      <c r="L417" s="73"/>
      <c r="M417" s="73"/>
      <c r="N417" s="24"/>
      <c r="O417" s="24"/>
      <c r="P417" s="24"/>
      <c r="Q417" s="24"/>
      <c r="R417" s="24"/>
      <c r="S417" s="24"/>
      <c r="T417" s="24"/>
      <c r="U417" s="24"/>
    </row>
    <row r="418">
      <c r="A418" s="73"/>
      <c r="B418" s="73"/>
      <c r="C418" s="73"/>
      <c r="D418" s="73"/>
      <c r="E418" s="73"/>
      <c r="F418" s="87"/>
      <c r="G418" s="73"/>
      <c r="H418" s="73"/>
      <c r="I418" s="73"/>
      <c r="J418" s="73"/>
      <c r="K418" s="73"/>
      <c r="L418" s="73"/>
      <c r="M418" s="73"/>
      <c r="N418" s="24"/>
      <c r="O418" s="24"/>
      <c r="P418" s="24"/>
      <c r="Q418" s="24"/>
      <c r="R418" s="24"/>
      <c r="S418" s="24"/>
      <c r="T418" s="24"/>
      <c r="U418" s="24"/>
    </row>
    <row r="419">
      <c r="A419" s="73"/>
      <c r="B419" s="73"/>
      <c r="C419" s="73"/>
      <c r="D419" s="73"/>
      <c r="E419" s="73"/>
      <c r="F419" s="87"/>
      <c r="G419" s="73"/>
      <c r="H419" s="73"/>
      <c r="I419" s="73"/>
      <c r="J419" s="73"/>
      <c r="K419" s="73"/>
      <c r="L419" s="73"/>
      <c r="M419" s="73"/>
      <c r="N419" s="24"/>
      <c r="O419" s="24"/>
      <c r="P419" s="24"/>
      <c r="Q419" s="24"/>
      <c r="R419" s="24"/>
      <c r="S419" s="24"/>
      <c r="T419" s="24"/>
      <c r="U419" s="24"/>
    </row>
    <row r="420">
      <c r="A420" s="73"/>
      <c r="B420" s="73"/>
      <c r="C420" s="73"/>
      <c r="D420" s="73"/>
      <c r="E420" s="73"/>
      <c r="F420" s="87"/>
      <c r="G420" s="73"/>
      <c r="H420" s="73"/>
      <c r="I420" s="73"/>
      <c r="J420" s="73"/>
      <c r="K420" s="73"/>
      <c r="L420" s="73"/>
      <c r="M420" s="73"/>
      <c r="N420" s="24"/>
      <c r="O420" s="24"/>
      <c r="P420" s="24"/>
      <c r="Q420" s="24"/>
      <c r="R420" s="24"/>
      <c r="S420" s="24"/>
      <c r="T420" s="24"/>
      <c r="U420" s="24"/>
    </row>
    <row r="421">
      <c r="A421" s="73"/>
      <c r="B421" s="73"/>
      <c r="C421" s="73"/>
      <c r="D421" s="73"/>
      <c r="E421" s="73"/>
      <c r="F421" s="87"/>
      <c r="G421" s="73"/>
      <c r="H421" s="73"/>
      <c r="I421" s="73"/>
      <c r="J421" s="73"/>
      <c r="K421" s="73"/>
      <c r="L421" s="73"/>
      <c r="M421" s="73"/>
      <c r="N421" s="24"/>
      <c r="O421" s="24"/>
      <c r="P421" s="24"/>
      <c r="Q421" s="24"/>
      <c r="R421" s="24"/>
      <c r="S421" s="24"/>
      <c r="T421" s="24"/>
      <c r="U421" s="24"/>
    </row>
    <row r="422">
      <c r="A422" s="73"/>
      <c r="B422" s="73"/>
      <c r="C422" s="73"/>
      <c r="D422" s="73"/>
      <c r="E422" s="73"/>
      <c r="F422" s="87"/>
      <c r="G422" s="73"/>
      <c r="H422" s="73"/>
      <c r="I422" s="73"/>
      <c r="J422" s="73"/>
      <c r="K422" s="73"/>
      <c r="L422" s="73"/>
      <c r="M422" s="73"/>
      <c r="N422" s="24"/>
      <c r="O422" s="24"/>
      <c r="P422" s="24"/>
      <c r="Q422" s="24"/>
      <c r="R422" s="24"/>
      <c r="S422" s="24"/>
      <c r="T422" s="24"/>
      <c r="U422" s="24"/>
    </row>
    <row r="423">
      <c r="A423" s="73"/>
      <c r="B423" s="73"/>
      <c r="C423" s="73"/>
      <c r="D423" s="73"/>
      <c r="E423" s="73"/>
      <c r="F423" s="87"/>
      <c r="G423" s="73"/>
      <c r="H423" s="73"/>
      <c r="I423" s="73"/>
      <c r="J423" s="73"/>
      <c r="K423" s="73"/>
      <c r="L423" s="73"/>
      <c r="M423" s="73"/>
      <c r="N423" s="24"/>
      <c r="O423" s="24"/>
      <c r="P423" s="24"/>
      <c r="Q423" s="24"/>
      <c r="R423" s="24"/>
      <c r="S423" s="24"/>
      <c r="T423" s="24"/>
      <c r="U423" s="24"/>
    </row>
    <row r="424">
      <c r="A424" s="73"/>
      <c r="B424" s="73"/>
      <c r="C424" s="73"/>
      <c r="D424" s="73"/>
      <c r="E424" s="73"/>
      <c r="F424" s="87"/>
      <c r="G424" s="73"/>
      <c r="H424" s="73"/>
      <c r="I424" s="73"/>
      <c r="J424" s="73"/>
      <c r="K424" s="73"/>
      <c r="L424" s="73"/>
      <c r="M424" s="73"/>
      <c r="N424" s="24"/>
      <c r="O424" s="24"/>
      <c r="P424" s="24"/>
      <c r="Q424" s="24"/>
      <c r="R424" s="24"/>
      <c r="S424" s="24"/>
      <c r="T424" s="24"/>
      <c r="U424" s="24"/>
    </row>
    <row r="425">
      <c r="A425" s="73"/>
      <c r="B425" s="73"/>
      <c r="C425" s="73"/>
      <c r="D425" s="73"/>
      <c r="E425" s="73"/>
      <c r="F425" s="87"/>
      <c r="G425" s="73"/>
      <c r="H425" s="73"/>
      <c r="I425" s="73"/>
      <c r="J425" s="73"/>
      <c r="K425" s="73"/>
      <c r="L425" s="73"/>
      <c r="M425" s="73"/>
      <c r="N425" s="24"/>
      <c r="O425" s="24"/>
      <c r="P425" s="24"/>
      <c r="Q425" s="24"/>
      <c r="R425" s="24"/>
      <c r="S425" s="24"/>
      <c r="T425" s="24"/>
      <c r="U425" s="24"/>
    </row>
    <row r="426">
      <c r="A426" s="73"/>
      <c r="B426" s="73"/>
      <c r="C426" s="73"/>
      <c r="D426" s="73"/>
      <c r="E426" s="73"/>
      <c r="F426" s="87"/>
      <c r="G426" s="73"/>
      <c r="H426" s="73"/>
      <c r="I426" s="73"/>
      <c r="J426" s="73"/>
      <c r="K426" s="73"/>
      <c r="L426" s="73"/>
      <c r="M426" s="73"/>
      <c r="N426" s="24"/>
      <c r="O426" s="24"/>
      <c r="P426" s="24"/>
      <c r="Q426" s="24"/>
      <c r="R426" s="24"/>
      <c r="S426" s="24"/>
      <c r="T426" s="24"/>
      <c r="U426" s="24"/>
    </row>
    <row r="427">
      <c r="A427" s="73"/>
      <c r="B427" s="73"/>
      <c r="C427" s="73"/>
      <c r="D427" s="73"/>
      <c r="E427" s="73"/>
      <c r="F427" s="87"/>
      <c r="G427" s="73"/>
      <c r="H427" s="73"/>
      <c r="I427" s="73"/>
      <c r="J427" s="73"/>
      <c r="K427" s="73"/>
      <c r="L427" s="73"/>
      <c r="M427" s="73"/>
      <c r="N427" s="24"/>
      <c r="O427" s="24"/>
      <c r="P427" s="24"/>
      <c r="Q427" s="24"/>
      <c r="R427" s="24"/>
      <c r="S427" s="24"/>
      <c r="T427" s="24"/>
      <c r="U427" s="24"/>
    </row>
    <row r="428">
      <c r="A428" s="73"/>
      <c r="B428" s="73"/>
      <c r="C428" s="73"/>
      <c r="D428" s="73"/>
      <c r="E428" s="73"/>
      <c r="F428" s="87"/>
      <c r="G428" s="73"/>
      <c r="H428" s="73"/>
      <c r="I428" s="73"/>
      <c r="J428" s="73"/>
      <c r="K428" s="73"/>
      <c r="L428" s="73"/>
      <c r="M428" s="73"/>
      <c r="N428" s="24"/>
      <c r="O428" s="24"/>
      <c r="P428" s="24"/>
      <c r="Q428" s="24"/>
      <c r="R428" s="24"/>
      <c r="S428" s="24"/>
      <c r="T428" s="24"/>
      <c r="U428" s="24"/>
    </row>
    <row r="429">
      <c r="A429" s="73"/>
      <c r="B429" s="73"/>
      <c r="C429" s="73"/>
      <c r="D429" s="73"/>
      <c r="E429" s="73"/>
      <c r="F429" s="87"/>
      <c r="G429" s="73"/>
      <c r="H429" s="73"/>
      <c r="I429" s="73"/>
      <c r="J429" s="73"/>
      <c r="K429" s="73"/>
      <c r="L429" s="73"/>
      <c r="M429" s="73"/>
      <c r="N429" s="24"/>
      <c r="O429" s="24"/>
      <c r="P429" s="24"/>
      <c r="Q429" s="24"/>
      <c r="R429" s="24"/>
      <c r="S429" s="24"/>
      <c r="T429" s="24"/>
      <c r="U429" s="24"/>
    </row>
    <row r="430">
      <c r="A430" s="73"/>
      <c r="B430" s="73"/>
      <c r="C430" s="73"/>
      <c r="D430" s="73"/>
      <c r="E430" s="73"/>
      <c r="F430" s="87"/>
      <c r="G430" s="73"/>
      <c r="H430" s="73"/>
      <c r="I430" s="73"/>
      <c r="J430" s="73"/>
      <c r="K430" s="73"/>
      <c r="L430" s="73"/>
      <c r="M430" s="73"/>
      <c r="N430" s="24"/>
      <c r="O430" s="24"/>
      <c r="P430" s="24"/>
      <c r="Q430" s="24"/>
      <c r="R430" s="24"/>
      <c r="S430" s="24"/>
      <c r="T430" s="24"/>
      <c r="U430" s="24"/>
    </row>
    <row r="431">
      <c r="A431" s="73"/>
      <c r="B431" s="73"/>
      <c r="C431" s="73"/>
      <c r="D431" s="73"/>
      <c r="E431" s="73"/>
      <c r="F431" s="87"/>
      <c r="G431" s="73"/>
      <c r="H431" s="73"/>
      <c r="I431" s="73"/>
      <c r="J431" s="73"/>
      <c r="K431" s="73"/>
      <c r="L431" s="73"/>
      <c r="M431" s="73"/>
      <c r="N431" s="24"/>
      <c r="O431" s="24"/>
      <c r="P431" s="24"/>
      <c r="Q431" s="24"/>
      <c r="R431" s="24"/>
      <c r="S431" s="24"/>
      <c r="T431" s="24"/>
      <c r="U431" s="24"/>
    </row>
    <row r="432">
      <c r="A432" s="73"/>
      <c r="B432" s="73"/>
      <c r="C432" s="73"/>
      <c r="D432" s="73"/>
      <c r="E432" s="73"/>
      <c r="F432" s="87"/>
      <c r="G432" s="73"/>
      <c r="H432" s="73"/>
      <c r="I432" s="73"/>
      <c r="J432" s="73"/>
      <c r="K432" s="73"/>
      <c r="L432" s="73"/>
      <c r="M432" s="73"/>
      <c r="N432" s="24"/>
      <c r="O432" s="24"/>
      <c r="P432" s="24"/>
      <c r="Q432" s="24"/>
      <c r="R432" s="24"/>
      <c r="S432" s="24"/>
      <c r="T432" s="24"/>
      <c r="U432" s="24"/>
    </row>
    <row r="433">
      <c r="A433" s="73"/>
      <c r="B433" s="73"/>
      <c r="C433" s="73"/>
      <c r="D433" s="73"/>
      <c r="E433" s="73"/>
      <c r="F433" s="87"/>
      <c r="G433" s="73"/>
      <c r="H433" s="73"/>
      <c r="I433" s="73"/>
      <c r="J433" s="73"/>
      <c r="K433" s="73"/>
      <c r="L433" s="73"/>
      <c r="M433" s="73"/>
      <c r="N433" s="24"/>
      <c r="O433" s="24"/>
      <c r="P433" s="24"/>
      <c r="Q433" s="24"/>
      <c r="R433" s="24"/>
      <c r="S433" s="24"/>
      <c r="T433" s="24"/>
      <c r="U433" s="24"/>
    </row>
    <row r="434">
      <c r="A434" s="73"/>
      <c r="B434" s="73"/>
      <c r="C434" s="73"/>
      <c r="D434" s="73"/>
      <c r="E434" s="73"/>
      <c r="F434" s="87"/>
      <c r="G434" s="73"/>
      <c r="H434" s="73"/>
      <c r="I434" s="73"/>
      <c r="J434" s="73"/>
      <c r="K434" s="73"/>
      <c r="L434" s="73"/>
      <c r="M434" s="73"/>
      <c r="N434" s="24"/>
      <c r="O434" s="24"/>
      <c r="P434" s="24"/>
      <c r="Q434" s="24"/>
      <c r="R434" s="24"/>
      <c r="S434" s="24"/>
      <c r="T434" s="24"/>
      <c r="U434" s="24"/>
    </row>
    <row r="435">
      <c r="A435" s="73"/>
      <c r="B435" s="73"/>
      <c r="C435" s="73"/>
      <c r="D435" s="73"/>
      <c r="E435" s="73"/>
      <c r="F435" s="87"/>
      <c r="G435" s="73"/>
      <c r="H435" s="73"/>
      <c r="I435" s="73"/>
      <c r="J435" s="73"/>
      <c r="K435" s="73"/>
      <c r="L435" s="73"/>
      <c r="M435" s="73"/>
      <c r="N435" s="24"/>
      <c r="O435" s="24"/>
      <c r="P435" s="24"/>
      <c r="Q435" s="24"/>
      <c r="R435" s="24"/>
      <c r="S435" s="24"/>
      <c r="T435" s="24"/>
      <c r="U435" s="24"/>
    </row>
    <row r="436">
      <c r="A436" s="73"/>
      <c r="B436" s="73"/>
      <c r="C436" s="73"/>
      <c r="D436" s="73"/>
      <c r="E436" s="73"/>
      <c r="F436" s="87"/>
      <c r="G436" s="73"/>
      <c r="H436" s="73"/>
      <c r="I436" s="73"/>
      <c r="J436" s="73"/>
      <c r="K436" s="73"/>
      <c r="L436" s="73"/>
      <c r="M436" s="73"/>
      <c r="N436" s="24"/>
      <c r="O436" s="24"/>
      <c r="P436" s="24"/>
      <c r="Q436" s="24"/>
      <c r="R436" s="24"/>
      <c r="S436" s="24"/>
      <c r="T436" s="24"/>
      <c r="U436" s="24"/>
    </row>
    <row r="437">
      <c r="A437" s="73"/>
      <c r="B437" s="73"/>
      <c r="C437" s="73"/>
      <c r="D437" s="73"/>
      <c r="E437" s="73"/>
      <c r="F437" s="87"/>
      <c r="G437" s="73"/>
      <c r="H437" s="73"/>
      <c r="I437" s="73"/>
      <c r="J437" s="73"/>
      <c r="K437" s="73"/>
      <c r="L437" s="73"/>
      <c r="M437" s="73"/>
      <c r="N437" s="24"/>
      <c r="O437" s="24"/>
      <c r="P437" s="24"/>
      <c r="Q437" s="24"/>
      <c r="R437" s="24"/>
      <c r="S437" s="24"/>
      <c r="T437" s="24"/>
      <c r="U437" s="24"/>
    </row>
    <row r="438">
      <c r="A438" s="73"/>
      <c r="B438" s="73"/>
      <c r="C438" s="73"/>
      <c r="D438" s="73"/>
      <c r="E438" s="73"/>
      <c r="F438" s="87"/>
      <c r="G438" s="73"/>
      <c r="H438" s="73"/>
      <c r="I438" s="73"/>
      <c r="J438" s="73"/>
      <c r="K438" s="73"/>
      <c r="L438" s="73"/>
      <c r="M438" s="73"/>
      <c r="N438" s="24"/>
      <c r="O438" s="24"/>
      <c r="P438" s="24"/>
      <c r="Q438" s="24"/>
      <c r="R438" s="24"/>
      <c r="S438" s="24"/>
      <c r="T438" s="24"/>
      <c r="U438" s="24"/>
    </row>
    <row r="439">
      <c r="A439" s="73"/>
      <c r="B439" s="73"/>
      <c r="C439" s="73"/>
      <c r="D439" s="73"/>
      <c r="E439" s="73"/>
      <c r="F439" s="87"/>
      <c r="G439" s="73"/>
      <c r="H439" s="73"/>
      <c r="I439" s="73"/>
      <c r="J439" s="73"/>
      <c r="K439" s="73"/>
      <c r="L439" s="73"/>
      <c r="M439" s="73"/>
      <c r="N439" s="24"/>
      <c r="O439" s="24"/>
      <c r="P439" s="24"/>
      <c r="Q439" s="24"/>
      <c r="R439" s="24"/>
      <c r="S439" s="24"/>
      <c r="T439" s="24"/>
      <c r="U439" s="24"/>
    </row>
    <row r="440">
      <c r="A440" s="73"/>
      <c r="B440" s="73"/>
      <c r="C440" s="73"/>
      <c r="D440" s="73"/>
      <c r="E440" s="73"/>
      <c r="F440" s="87"/>
      <c r="G440" s="73"/>
      <c r="H440" s="73"/>
      <c r="I440" s="73"/>
      <c r="J440" s="73"/>
      <c r="K440" s="73"/>
      <c r="L440" s="73"/>
      <c r="M440" s="73"/>
      <c r="N440" s="24"/>
      <c r="O440" s="24"/>
      <c r="P440" s="24"/>
      <c r="Q440" s="24"/>
      <c r="R440" s="24"/>
      <c r="S440" s="24"/>
      <c r="T440" s="24"/>
      <c r="U440" s="24"/>
    </row>
    <row r="441">
      <c r="A441" s="73"/>
      <c r="B441" s="73"/>
      <c r="C441" s="73"/>
      <c r="D441" s="73"/>
      <c r="E441" s="73"/>
      <c r="F441" s="87"/>
      <c r="G441" s="73"/>
      <c r="H441" s="73"/>
      <c r="I441" s="73"/>
      <c r="J441" s="73"/>
      <c r="K441" s="73"/>
      <c r="L441" s="73"/>
      <c r="M441" s="73"/>
      <c r="N441" s="24"/>
      <c r="O441" s="24"/>
      <c r="P441" s="24"/>
      <c r="Q441" s="24"/>
      <c r="R441" s="24"/>
      <c r="S441" s="24"/>
      <c r="T441" s="24"/>
      <c r="U441" s="24"/>
    </row>
    <row r="442">
      <c r="A442" s="73"/>
      <c r="B442" s="73"/>
      <c r="C442" s="73"/>
      <c r="D442" s="73"/>
      <c r="E442" s="73"/>
      <c r="F442" s="87"/>
      <c r="G442" s="73"/>
      <c r="H442" s="73"/>
      <c r="I442" s="73"/>
      <c r="J442" s="73"/>
      <c r="K442" s="73"/>
      <c r="L442" s="73"/>
      <c r="M442" s="73"/>
      <c r="N442" s="24"/>
      <c r="O442" s="24"/>
      <c r="P442" s="24"/>
      <c r="Q442" s="24"/>
      <c r="R442" s="24"/>
      <c r="S442" s="24"/>
      <c r="T442" s="24"/>
      <c r="U442" s="24"/>
    </row>
    <row r="443">
      <c r="A443" s="73"/>
      <c r="B443" s="73"/>
      <c r="C443" s="73"/>
      <c r="D443" s="73"/>
      <c r="E443" s="73"/>
      <c r="F443" s="87"/>
      <c r="G443" s="73"/>
      <c r="H443" s="73"/>
      <c r="I443" s="73"/>
      <c r="J443" s="73"/>
      <c r="K443" s="73"/>
      <c r="L443" s="73"/>
      <c r="M443" s="73"/>
      <c r="N443" s="24"/>
      <c r="O443" s="24"/>
      <c r="P443" s="24"/>
      <c r="Q443" s="24"/>
      <c r="R443" s="24"/>
      <c r="S443" s="24"/>
      <c r="T443" s="24"/>
      <c r="U443" s="24"/>
    </row>
    <row r="444">
      <c r="A444" s="73"/>
      <c r="B444" s="73"/>
      <c r="C444" s="73"/>
      <c r="D444" s="73"/>
      <c r="E444" s="73"/>
      <c r="F444" s="87"/>
      <c r="G444" s="73"/>
      <c r="H444" s="73"/>
      <c r="I444" s="73"/>
      <c r="J444" s="73"/>
      <c r="K444" s="73"/>
      <c r="L444" s="73"/>
      <c r="M444" s="73"/>
      <c r="N444" s="24"/>
      <c r="O444" s="24"/>
      <c r="P444" s="24"/>
      <c r="Q444" s="24"/>
      <c r="R444" s="24"/>
      <c r="S444" s="24"/>
      <c r="T444" s="24"/>
      <c r="U444" s="24"/>
    </row>
    <row r="445">
      <c r="A445" s="73"/>
      <c r="B445" s="73"/>
      <c r="C445" s="73"/>
      <c r="D445" s="73"/>
      <c r="E445" s="73"/>
      <c r="F445" s="87"/>
      <c r="G445" s="73"/>
      <c r="H445" s="73"/>
      <c r="I445" s="73"/>
      <c r="J445" s="73"/>
      <c r="K445" s="73"/>
      <c r="L445" s="73"/>
      <c r="M445" s="73"/>
      <c r="N445" s="24"/>
      <c r="O445" s="24"/>
      <c r="P445" s="24"/>
      <c r="Q445" s="24"/>
      <c r="R445" s="24"/>
      <c r="S445" s="24"/>
      <c r="T445" s="24"/>
      <c r="U445" s="24"/>
    </row>
    <row r="446">
      <c r="A446" s="73"/>
      <c r="B446" s="73"/>
      <c r="C446" s="73"/>
      <c r="D446" s="73"/>
      <c r="E446" s="73"/>
      <c r="F446" s="87"/>
      <c r="G446" s="73"/>
      <c r="H446" s="73"/>
      <c r="I446" s="73"/>
      <c r="J446" s="73"/>
      <c r="K446" s="73"/>
      <c r="L446" s="73"/>
      <c r="M446" s="73"/>
      <c r="N446" s="24"/>
      <c r="O446" s="24"/>
      <c r="P446" s="24"/>
      <c r="Q446" s="24"/>
      <c r="R446" s="24"/>
      <c r="S446" s="24"/>
      <c r="T446" s="24"/>
      <c r="U446" s="24"/>
    </row>
    <row r="447">
      <c r="A447" s="73"/>
      <c r="B447" s="73"/>
      <c r="C447" s="73"/>
      <c r="D447" s="73"/>
      <c r="E447" s="73"/>
      <c r="F447" s="87"/>
      <c r="G447" s="73"/>
      <c r="H447" s="73"/>
      <c r="I447" s="73"/>
      <c r="J447" s="73"/>
      <c r="K447" s="73"/>
      <c r="L447" s="73"/>
      <c r="M447" s="73"/>
      <c r="N447" s="24"/>
      <c r="O447" s="24"/>
      <c r="P447" s="24"/>
      <c r="Q447" s="24"/>
      <c r="R447" s="24"/>
      <c r="S447" s="24"/>
      <c r="T447" s="24"/>
      <c r="U447" s="24"/>
    </row>
    <row r="448">
      <c r="A448" s="73"/>
      <c r="B448" s="73"/>
      <c r="C448" s="73"/>
      <c r="D448" s="73"/>
      <c r="E448" s="73"/>
      <c r="F448" s="87"/>
      <c r="G448" s="73"/>
      <c r="H448" s="73"/>
      <c r="I448" s="73"/>
      <c r="J448" s="73"/>
      <c r="K448" s="73"/>
      <c r="L448" s="73"/>
      <c r="M448" s="73"/>
      <c r="N448" s="24"/>
      <c r="O448" s="24"/>
      <c r="P448" s="24"/>
      <c r="Q448" s="24"/>
      <c r="R448" s="24"/>
      <c r="S448" s="24"/>
      <c r="T448" s="24"/>
      <c r="U448" s="24"/>
    </row>
    <row r="449">
      <c r="A449" s="73"/>
      <c r="B449" s="73"/>
      <c r="C449" s="73"/>
      <c r="D449" s="73"/>
      <c r="E449" s="73"/>
      <c r="F449" s="87"/>
      <c r="G449" s="73"/>
      <c r="H449" s="73"/>
      <c r="I449" s="73"/>
      <c r="J449" s="73"/>
      <c r="K449" s="73"/>
      <c r="L449" s="73"/>
      <c r="M449" s="73"/>
      <c r="N449" s="24"/>
      <c r="O449" s="24"/>
      <c r="P449" s="24"/>
      <c r="Q449" s="24"/>
      <c r="R449" s="24"/>
      <c r="S449" s="24"/>
      <c r="T449" s="24"/>
      <c r="U449" s="24"/>
    </row>
    <row r="450">
      <c r="A450" s="73"/>
      <c r="B450" s="73"/>
      <c r="C450" s="73"/>
      <c r="D450" s="73"/>
      <c r="E450" s="73"/>
      <c r="F450" s="87"/>
      <c r="G450" s="73"/>
      <c r="H450" s="73"/>
      <c r="I450" s="73"/>
      <c r="J450" s="73"/>
      <c r="K450" s="73"/>
      <c r="L450" s="73"/>
      <c r="M450" s="73"/>
      <c r="N450" s="24"/>
      <c r="O450" s="24"/>
      <c r="P450" s="24"/>
      <c r="Q450" s="24"/>
      <c r="R450" s="24"/>
      <c r="S450" s="24"/>
      <c r="T450" s="24"/>
      <c r="U450" s="24"/>
    </row>
    <row r="451">
      <c r="A451" s="73"/>
      <c r="B451" s="73"/>
      <c r="C451" s="73"/>
      <c r="D451" s="73"/>
      <c r="E451" s="73"/>
      <c r="F451" s="87"/>
      <c r="G451" s="73"/>
      <c r="H451" s="73"/>
      <c r="I451" s="73"/>
      <c r="J451" s="73"/>
      <c r="K451" s="73"/>
      <c r="L451" s="73"/>
      <c r="M451" s="73"/>
      <c r="N451" s="24"/>
      <c r="O451" s="24"/>
      <c r="P451" s="24"/>
      <c r="Q451" s="24"/>
      <c r="R451" s="24"/>
      <c r="S451" s="24"/>
      <c r="T451" s="24"/>
      <c r="U451" s="24"/>
    </row>
    <row r="452">
      <c r="A452" s="73"/>
      <c r="B452" s="73"/>
      <c r="C452" s="73"/>
      <c r="D452" s="73"/>
      <c r="E452" s="73"/>
      <c r="F452" s="87"/>
      <c r="G452" s="73"/>
      <c r="H452" s="73"/>
      <c r="I452" s="73"/>
      <c r="J452" s="73"/>
      <c r="K452" s="73"/>
      <c r="L452" s="73"/>
      <c r="M452" s="73"/>
      <c r="N452" s="24"/>
      <c r="O452" s="24"/>
      <c r="P452" s="24"/>
      <c r="Q452" s="24"/>
      <c r="R452" s="24"/>
      <c r="S452" s="24"/>
      <c r="T452" s="24"/>
      <c r="U452" s="24"/>
    </row>
    <row r="453">
      <c r="A453" s="73"/>
      <c r="B453" s="73"/>
      <c r="C453" s="73"/>
      <c r="D453" s="73"/>
      <c r="E453" s="73"/>
      <c r="F453" s="87"/>
      <c r="G453" s="73"/>
      <c r="H453" s="73"/>
      <c r="I453" s="73"/>
      <c r="J453" s="73"/>
      <c r="K453" s="73"/>
      <c r="L453" s="73"/>
      <c r="M453" s="73"/>
      <c r="N453" s="24"/>
      <c r="O453" s="24"/>
      <c r="P453" s="24"/>
      <c r="Q453" s="24"/>
      <c r="R453" s="24"/>
      <c r="S453" s="24"/>
      <c r="T453" s="24"/>
      <c r="U453" s="24"/>
    </row>
    <row r="454">
      <c r="A454" s="73"/>
      <c r="B454" s="73"/>
      <c r="C454" s="73"/>
      <c r="D454" s="73"/>
      <c r="E454" s="73"/>
      <c r="F454" s="87"/>
      <c r="G454" s="73"/>
      <c r="H454" s="73"/>
      <c r="I454" s="73"/>
      <c r="J454" s="73"/>
      <c r="K454" s="73"/>
      <c r="L454" s="73"/>
      <c r="M454" s="73"/>
      <c r="N454" s="24"/>
      <c r="O454" s="24"/>
      <c r="P454" s="24"/>
      <c r="Q454" s="24"/>
      <c r="R454" s="24"/>
      <c r="S454" s="24"/>
      <c r="T454" s="24"/>
      <c r="U454" s="24"/>
    </row>
    <row r="455">
      <c r="A455" s="73"/>
      <c r="B455" s="73"/>
      <c r="C455" s="73"/>
      <c r="D455" s="73"/>
      <c r="E455" s="73"/>
      <c r="F455" s="87"/>
      <c r="G455" s="73"/>
      <c r="H455" s="73"/>
      <c r="I455" s="73"/>
      <c r="J455" s="73"/>
      <c r="K455" s="73"/>
      <c r="L455" s="73"/>
      <c r="M455" s="73"/>
      <c r="N455" s="24"/>
      <c r="O455" s="24"/>
      <c r="P455" s="24"/>
      <c r="Q455" s="24"/>
      <c r="R455" s="24"/>
      <c r="S455" s="24"/>
      <c r="T455" s="24"/>
      <c r="U455" s="24"/>
    </row>
    <row r="456">
      <c r="A456" s="73"/>
      <c r="B456" s="73"/>
      <c r="C456" s="73"/>
      <c r="D456" s="73"/>
      <c r="E456" s="73"/>
      <c r="F456" s="87"/>
      <c r="G456" s="73"/>
      <c r="H456" s="73"/>
      <c r="I456" s="73"/>
      <c r="J456" s="73"/>
      <c r="K456" s="73"/>
      <c r="L456" s="73"/>
      <c r="M456" s="73"/>
      <c r="N456" s="24"/>
      <c r="O456" s="24"/>
      <c r="P456" s="24"/>
      <c r="Q456" s="24"/>
      <c r="R456" s="24"/>
      <c r="S456" s="24"/>
      <c r="T456" s="24"/>
      <c r="U456" s="24"/>
    </row>
    <row r="457">
      <c r="A457" s="73"/>
      <c r="B457" s="73"/>
      <c r="C457" s="73"/>
      <c r="D457" s="73"/>
      <c r="E457" s="73"/>
      <c r="F457" s="87"/>
      <c r="G457" s="73"/>
      <c r="H457" s="73"/>
      <c r="I457" s="73"/>
      <c r="J457" s="73"/>
      <c r="K457" s="73"/>
      <c r="L457" s="73"/>
      <c r="M457" s="73"/>
      <c r="N457" s="24"/>
      <c r="O457" s="24"/>
      <c r="P457" s="24"/>
      <c r="Q457" s="24"/>
      <c r="R457" s="24"/>
      <c r="S457" s="24"/>
      <c r="T457" s="24"/>
      <c r="U457" s="24"/>
    </row>
    <row r="458">
      <c r="A458" s="73"/>
      <c r="B458" s="73"/>
      <c r="C458" s="73"/>
      <c r="D458" s="73"/>
      <c r="E458" s="73"/>
      <c r="F458" s="87"/>
      <c r="G458" s="73"/>
      <c r="H458" s="73"/>
      <c r="I458" s="73"/>
      <c r="J458" s="73"/>
      <c r="K458" s="73"/>
      <c r="L458" s="73"/>
      <c r="M458" s="73"/>
      <c r="N458" s="24"/>
      <c r="O458" s="24"/>
      <c r="P458" s="24"/>
      <c r="Q458" s="24"/>
      <c r="R458" s="24"/>
      <c r="S458" s="24"/>
      <c r="T458" s="24"/>
      <c r="U458" s="24"/>
    </row>
    <row r="459">
      <c r="A459" s="73"/>
      <c r="B459" s="73"/>
      <c r="C459" s="73"/>
      <c r="D459" s="73"/>
      <c r="E459" s="73"/>
      <c r="F459" s="87"/>
      <c r="G459" s="73"/>
      <c r="H459" s="73"/>
      <c r="I459" s="73"/>
      <c r="J459" s="73"/>
      <c r="K459" s="73"/>
      <c r="L459" s="73"/>
      <c r="M459" s="73"/>
      <c r="N459" s="24"/>
      <c r="O459" s="24"/>
      <c r="P459" s="24"/>
      <c r="Q459" s="24"/>
      <c r="R459" s="24"/>
      <c r="S459" s="24"/>
      <c r="T459" s="24"/>
      <c r="U459" s="24"/>
    </row>
    <row r="460">
      <c r="A460" s="73"/>
      <c r="B460" s="73"/>
      <c r="C460" s="73"/>
      <c r="D460" s="73"/>
      <c r="E460" s="73"/>
      <c r="F460" s="87"/>
      <c r="G460" s="73"/>
      <c r="H460" s="73"/>
      <c r="I460" s="73"/>
      <c r="J460" s="73"/>
      <c r="K460" s="73"/>
      <c r="L460" s="73"/>
      <c r="M460" s="73"/>
      <c r="N460" s="24"/>
      <c r="O460" s="24"/>
      <c r="P460" s="24"/>
      <c r="Q460" s="24"/>
      <c r="R460" s="24"/>
      <c r="S460" s="24"/>
      <c r="T460" s="24"/>
      <c r="U460" s="24"/>
    </row>
    <row r="461">
      <c r="A461" s="73"/>
      <c r="B461" s="73"/>
      <c r="C461" s="73"/>
      <c r="D461" s="73"/>
      <c r="E461" s="73"/>
      <c r="F461" s="87"/>
      <c r="G461" s="73"/>
      <c r="H461" s="73"/>
      <c r="I461" s="73"/>
      <c r="J461" s="73"/>
      <c r="K461" s="73"/>
      <c r="L461" s="73"/>
      <c r="M461" s="73"/>
      <c r="N461" s="24"/>
      <c r="O461" s="24"/>
      <c r="P461" s="24"/>
      <c r="Q461" s="24"/>
      <c r="R461" s="24"/>
      <c r="S461" s="24"/>
      <c r="T461" s="24"/>
      <c r="U461" s="24"/>
    </row>
    <row r="462">
      <c r="A462" s="73"/>
      <c r="B462" s="73"/>
      <c r="C462" s="73"/>
      <c r="D462" s="73"/>
      <c r="E462" s="73"/>
      <c r="F462" s="87"/>
      <c r="G462" s="73"/>
      <c r="H462" s="73"/>
      <c r="I462" s="73"/>
      <c r="J462" s="73"/>
      <c r="K462" s="73"/>
      <c r="L462" s="73"/>
      <c r="M462" s="73"/>
      <c r="N462" s="24"/>
      <c r="O462" s="24"/>
      <c r="P462" s="24"/>
      <c r="Q462" s="24"/>
      <c r="R462" s="24"/>
      <c r="S462" s="24"/>
      <c r="T462" s="24"/>
      <c r="U462" s="24"/>
    </row>
    <row r="463">
      <c r="A463" s="73"/>
      <c r="B463" s="73"/>
      <c r="C463" s="73"/>
      <c r="D463" s="73"/>
      <c r="E463" s="73"/>
      <c r="F463" s="87"/>
      <c r="G463" s="73"/>
      <c r="H463" s="73"/>
      <c r="I463" s="73"/>
      <c r="J463" s="73"/>
      <c r="K463" s="73"/>
      <c r="L463" s="73"/>
      <c r="M463" s="73"/>
      <c r="N463" s="24"/>
      <c r="O463" s="24"/>
      <c r="P463" s="24"/>
      <c r="Q463" s="24"/>
      <c r="R463" s="24"/>
      <c r="S463" s="24"/>
      <c r="T463" s="24"/>
      <c r="U463" s="24"/>
    </row>
    <row r="464">
      <c r="A464" s="73"/>
      <c r="B464" s="73"/>
      <c r="C464" s="73"/>
      <c r="D464" s="73"/>
      <c r="E464" s="73"/>
      <c r="F464" s="87"/>
      <c r="G464" s="73"/>
      <c r="H464" s="73"/>
      <c r="I464" s="73"/>
      <c r="J464" s="73"/>
      <c r="K464" s="73"/>
      <c r="L464" s="73"/>
      <c r="M464" s="73"/>
      <c r="N464" s="24"/>
      <c r="O464" s="24"/>
      <c r="P464" s="24"/>
      <c r="Q464" s="24"/>
      <c r="R464" s="24"/>
      <c r="S464" s="24"/>
      <c r="T464" s="24"/>
      <c r="U464" s="24"/>
    </row>
    <row r="465">
      <c r="A465" s="73"/>
      <c r="B465" s="73"/>
      <c r="C465" s="73"/>
      <c r="D465" s="73"/>
      <c r="E465" s="73"/>
      <c r="F465" s="87"/>
      <c r="G465" s="73"/>
      <c r="H465" s="73"/>
      <c r="I465" s="73"/>
      <c r="J465" s="73"/>
      <c r="K465" s="73"/>
      <c r="L465" s="73"/>
      <c r="M465" s="73"/>
      <c r="N465" s="24"/>
      <c r="O465" s="24"/>
      <c r="P465" s="24"/>
      <c r="Q465" s="24"/>
      <c r="R465" s="24"/>
      <c r="S465" s="24"/>
      <c r="T465" s="24"/>
      <c r="U465" s="24"/>
    </row>
    <row r="466">
      <c r="A466" s="73"/>
      <c r="B466" s="73"/>
      <c r="C466" s="73"/>
      <c r="D466" s="73"/>
      <c r="E466" s="73"/>
      <c r="F466" s="87"/>
      <c r="G466" s="73"/>
      <c r="H466" s="73"/>
      <c r="I466" s="73"/>
      <c r="J466" s="73"/>
      <c r="K466" s="73"/>
      <c r="L466" s="73"/>
      <c r="M466" s="73"/>
      <c r="N466" s="24"/>
      <c r="O466" s="24"/>
      <c r="P466" s="24"/>
      <c r="Q466" s="24"/>
      <c r="R466" s="24"/>
      <c r="S466" s="24"/>
      <c r="T466" s="24"/>
      <c r="U466" s="24"/>
    </row>
    <row r="467">
      <c r="A467" s="73"/>
      <c r="B467" s="73"/>
      <c r="C467" s="73"/>
      <c r="D467" s="73"/>
      <c r="E467" s="73"/>
      <c r="F467" s="87"/>
      <c r="G467" s="73"/>
      <c r="H467" s="73"/>
      <c r="I467" s="73"/>
      <c r="J467" s="73"/>
      <c r="K467" s="73"/>
      <c r="L467" s="73"/>
      <c r="M467" s="73"/>
      <c r="N467" s="24"/>
      <c r="O467" s="24"/>
      <c r="P467" s="24"/>
      <c r="Q467" s="24"/>
      <c r="R467" s="24"/>
      <c r="S467" s="24"/>
      <c r="T467" s="24"/>
      <c r="U467" s="24"/>
    </row>
    <row r="468">
      <c r="A468" s="73"/>
      <c r="B468" s="73"/>
      <c r="C468" s="73"/>
      <c r="D468" s="73"/>
      <c r="E468" s="73"/>
      <c r="F468" s="87"/>
      <c r="G468" s="73"/>
      <c r="H468" s="73"/>
      <c r="I468" s="73"/>
      <c r="J468" s="73"/>
      <c r="K468" s="73"/>
      <c r="L468" s="73"/>
      <c r="M468" s="73"/>
      <c r="N468" s="24"/>
      <c r="O468" s="24"/>
      <c r="P468" s="24"/>
      <c r="Q468" s="24"/>
      <c r="R468" s="24"/>
      <c r="S468" s="24"/>
      <c r="T468" s="24"/>
      <c r="U468" s="24"/>
    </row>
    <row r="469">
      <c r="A469" s="73"/>
      <c r="B469" s="73"/>
      <c r="C469" s="73"/>
      <c r="D469" s="73"/>
      <c r="E469" s="73"/>
      <c r="F469" s="87"/>
      <c r="G469" s="73"/>
      <c r="H469" s="73"/>
      <c r="I469" s="73"/>
      <c r="J469" s="73"/>
      <c r="K469" s="73"/>
      <c r="L469" s="73"/>
      <c r="M469" s="73"/>
      <c r="N469" s="24"/>
      <c r="O469" s="24"/>
      <c r="P469" s="24"/>
      <c r="Q469" s="24"/>
      <c r="R469" s="24"/>
      <c r="S469" s="24"/>
      <c r="T469" s="24"/>
      <c r="U469" s="24"/>
    </row>
    <row r="470">
      <c r="A470" s="73"/>
      <c r="B470" s="73"/>
      <c r="C470" s="73"/>
      <c r="D470" s="73"/>
      <c r="E470" s="73"/>
      <c r="F470" s="87"/>
      <c r="G470" s="73"/>
      <c r="H470" s="73"/>
      <c r="I470" s="73"/>
      <c r="J470" s="73"/>
      <c r="K470" s="73"/>
      <c r="L470" s="73"/>
      <c r="M470" s="73"/>
      <c r="N470" s="24"/>
      <c r="O470" s="24"/>
      <c r="P470" s="24"/>
      <c r="Q470" s="24"/>
      <c r="R470" s="24"/>
      <c r="S470" s="24"/>
      <c r="T470" s="24"/>
      <c r="U470" s="24"/>
    </row>
    <row r="471">
      <c r="A471" s="73"/>
      <c r="B471" s="73"/>
      <c r="C471" s="73"/>
      <c r="D471" s="73"/>
      <c r="E471" s="73"/>
      <c r="F471" s="87"/>
      <c r="G471" s="73"/>
      <c r="H471" s="73"/>
      <c r="I471" s="73"/>
      <c r="J471" s="73"/>
      <c r="K471" s="73"/>
      <c r="L471" s="73"/>
      <c r="M471" s="73"/>
      <c r="N471" s="24"/>
      <c r="O471" s="24"/>
      <c r="P471" s="24"/>
      <c r="Q471" s="24"/>
      <c r="R471" s="24"/>
      <c r="S471" s="24"/>
      <c r="T471" s="24"/>
      <c r="U471" s="24"/>
    </row>
    <row r="472">
      <c r="A472" s="73"/>
      <c r="B472" s="73"/>
      <c r="C472" s="73"/>
      <c r="D472" s="73"/>
      <c r="E472" s="73"/>
      <c r="F472" s="87"/>
      <c r="G472" s="73"/>
      <c r="H472" s="73"/>
      <c r="I472" s="73"/>
      <c r="J472" s="73"/>
      <c r="K472" s="73"/>
      <c r="L472" s="73"/>
      <c r="M472" s="73"/>
      <c r="N472" s="24"/>
      <c r="O472" s="24"/>
      <c r="P472" s="24"/>
      <c r="Q472" s="24"/>
      <c r="R472" s="24"/>
      <c r="S472" s="24"/>
      <c r="T472" s="24"/>
      <c r="U472" s="24"/>
    </row>
    <row r="473">
      <c r="A473" s="73"/>
      <c r="B473" s="73"/>
      <c r="C473" s="73"/>
      <c r="D473" s="73"/>
      <c r="E473" s="73"/>
      <c r="F473" s="87"/>
      <c r="G473" s="73"/>
      <c r="H473" s="73"/>
      <c r="I473" s="73"/>
      <c r="J473" s="73"/>
      <c r="K473" s="73"/>
      <c r="L473" s="73"/>
      <c r="M473" s="73"/>
      <c r="N473" s="24"/>
      <c r="O473" s="24"/>
      <c r="P473" s="24"/>
      <c r="Q473" s="24"/>
      <c r="R473" s="24"/>
      <c r="S473" s="24"/>
      <c r="T473" s="24"/>
      <c r="U473" s="24"/>
    </row>
    <row r="474">
      <c r="A474" s="73"/>
      <c r="B474" s="73"/>
      <c r="C474" s="73"/>
      <c r="D474" s="73"/>
      <c r="E474" s="73"/>
      <c r="F474" s="87"/>
      <c r="G474" s="73"/>
      <c r="H474" s="73"/>
      <c r="I474" s="73"/>
      <c r="J474" s="73"/>
      <c r="K474" s="73"/>
      <c r="L474" s="73"/>
      <c r="M474" s="73"/>
      <c r="N474" s="24"/>
      <c r="O474" s="24"/>
      <c r="P474" s="24"/>
      <c r="Q474" s="24"/>
      <c r="R474" s="24"/>
      <c r="S474" s="24"/>
      <c r="T474" s="24"/>
      <c r="U474" s="24"/>
    </row>
    <row r="475">
      <c r="A475" s="73"/>
      <c r="B475" s="73"/>
      <c r="C475" s="73"/>
      <c r="D475" s="73"/>
      <c r="E475" s="73"/>
      <c r="F475" s="87"/>
      <c r="G475" s="73"/>
      <c r="H475" s="73"/>
      <c r="I475" s="73"/>
      <c r="J475" s="73"/>
      <c r="K475" s="73"/>
      <c r="L475" s="73"/>
      <c r="M475" s="73"/>
      <c r="N475" s="24"/>
      <c r="O475" s="24"/>
      <c r="P475" s="24"/>
      <c r="Q475" s="24"/>
      <c r="R475" s="24"/>
      <c r="S475" s="24"/>
      <c r="T475" s="24"/>
      <c r="U475" s="24"/>
    </row>
    <row r="476">
      <c r="A476" s="73"/>
      <c r="B476" s="73"/>
      <c r="C476" s="73"/>
      <c r="D476" s="73"/>
      <c r="E476" s="73"/>
      <c r="F476" s="87"/>
      <c r="G476" s="73"/>
      <c r="H476" s="73"/>
      <c r="I476" s="73"/>
      <c r="J476" s="73"/>
      <c r="K476" s="73"/>
      <c r="L476" s="73"/>
      <c r="M476" s="73"/>
      <c r="N476" s="24"/>
      <c r="O476" s="24"/>
      <c r="P476" s="24"/>
      <c r="Q476" s="24"/>
      <c r="R476" s="24"/>
      <c r="S476" s="24"/>
      <c r="T476" s="24"/>
      <c r="U476" s="24"/>
    </row>
    <row r="477">
      <c r="A477" s="73"/>
      <c r="B477" s="73"/>
      <c r="C477" s="73"/>
      <c r="D477" s="73"/>
      <c r="E477" s="73"/>
      <c r="F477" s="87"/>
      <c r="G477" s="73"/>
      <c r="H477" s="73"/>
      <c r="I477" s="73"/>
      <c r="J477" s="73"/>
      <c r="K477" s="73"/>
      <c r="L477" s="73"/>
      <c r="M477" s="73"/>
      <c r="N477" s="24"/>
      <c r="O477" s="24"/>
      <c r="P477" s="24"/>
      <c r="Q477" s="24"/>
      <c r="R477" s="24"/>
      <c r="S477" s="24"/>
      <c r="T477" s="24"/>
      <c r="U477" s="24"/>
    </row>
    <row r="478">
      <c r="A478" s="73"/>
      <c r="B478" s="73"/>
      <c r="C478" s="73"/>
      <c r="D478" s="73"/>
      <c r="E478" s="73"/>
      <c r="F478" s="87"/>
      <c r="G478" s="73"/>
      <c r="H478" s="73"/>
      <c r="I478" s="73"/>
      <c r="J478" s="73"/>
      <c r="K478" s="73"/>
      <c r="L478" s="73"/>
      <c r="M478" s="73"/>
      <c r="N478" s="24"/>
      <c r="O478" s="24"/>
      <c r="P478" s="24"/>
      <c r="Q478" s="24"/>
      <c r="R478" s="24"/>
      <c r="S478" s="24"/>
      <c r="T478" s="24"/>
      <c r="U478" s="24"/>
    </row>
    <row r="479">
      <c r="A479" s="73"/>
      <c r="B479" s="73"/>
      <c r="C479" s="73"/>
      <c r="D479" s="73"/>
      <c r="E479" s="73"/>
      <c r="F479" s="87"/>
      <c r="G479" s="73"/>
      <c r="H479" s="73"/>
      <c r="I479" s="73"/>
      <c r="J479" s="73"/>
      <c r="K479" s="73"/>
      <c r="L479" s="73"/>
      <c r="M479" s="73"/>
      <c r="N479" s="24"/>
      <c r="O479" s="24"/>
      <c r="P479" s="24"/>
      <c r="Q479" s="24"/>
      <c r="R479" s="24"/>
      <c r="S479" s="24"/>
      <c r="T479" s="24"/>
      <c r="U479" s="24"/>
    </row>
    <row r="480">
      <c r="A480" s="73"/>
      <c r="B480" s="73"/>
      <c r="C480" s="73"/>
      <c r="D480" s="73"/>
      <c r="E480" s="73"/>
      <c r="F480" s="87"/>
      <c r="G480" s="73"/>
      <c r="H480" s="73"/>
      <c r="I480" s="73"/>
      <c r="J480" s="73"/>
      <c r="K480" s="73"/>
      <c r="L480" s="73"/>
      <c r="M480" s="73"/>
      <c r="N480" s="24"/>
      <c r="O480" s="24"/>
      <c r="P480" s="24"/>
      <c r="Q480" s="24"/>
      <c r="R480" s="24"/>
      <c r="S480" s="24"/>
      <c r="T480" s="24"/>
      <c r="U480" s="24"/>
    </row>
    <row r="481">
      <c r="A481" s="73"/>
      <c r="B481" s="73"/>
      <c r="C481" s="73"/>
      <c r="D481" s="73"/>
      <c r="E481" s="73"/>
      <c r="F481" s="87"/>
      <c r="G481" s="73"/>
      <c r="H481" s="73"/>
      <c r="I481" s="73"/>
      <c r="J481" s="73"/>
      <c r="K481" s="73"/>
      <c r="L481" s="73"/>
      <c r="M481" s="73"/>
      <c r="N481" s="24"/>
      <c r="O481" s="24"/>
      <c r="P481" s="24"/>
      <c r="Q481" s="24"/>
      <c r="R481" s="24"/>
      <c r="S481" s="24"/>
      <c r="T481" s="24"/>
      <c r="U481" s="24"/>
    </row>
    <row r="482">
      <c r="A482" s="73"/>
      <c r="B482" s="73"/>
      <c r="C482" s="73"/>
      <c r="D482" s="73"/>
      <c r="E482" s="73"/>
      <c r="F482" s="87"/>
      <c r="G482" s="73"/>
      <c r="H482" s="73"/>
      <c r="I482" s="73"/>
      <c r="J482" s="73"/>
      <c r="K482" s="73"/>
      <c r="L482" s="73"/>
      <c r="M482" s="73"/>
      <c r="N482" s="24"/>
      <c r="O482" s="24"/>
      <c r="P482" s="24"/>
      <c r="Q482" s="24"/>
      <c r="R482" s="24"/>
      <c r="S482" s="24"/>
      <c r="T482" s="24"/>
      <c r="U482" s="24"/>
    </row>
    <row r="483">
      <c r="A483" s="73"/>
      <c r="B483" s="73"/>
      <c r="C483" s="73"/>
      <c r="D483" s="73"/>
      <c r="E483" s="73"/>
      <c r="F483" s="87"/>
      <c r="G483" s="73"/>
      <c r="H483" s="73"/>
      <c r="I483" s="73"/>
      <c r="J483" s="73"/>
      <c r="K483" s="73"/>
      <c r="L483" s="73"/>
      <c r="M483" s="73"/>
      <c r="N483" s="24"/>
      <c r="O483" s="24"/>
      <c r="P483" s="24"/>
      <c r="Q483" s="24"/>
      <c r="R483" s="24"/>
      <c r="S483" s="24"/>
      <c r="T483" s="24"/>
      <c r="U483" s="24"/>
    </row>
    <row r="484">
      <c r="A484" s="73"/>
      <c r="B484" s="73"/>
      <c r="C484" s="73"/>
      <c r="D484" s="73"/>
      <c r="E484" s="73"/>
      <c r="F484" s="87"/>
      <c r="G484" s="73"/>
      <c r="H484" s="73"/>
      <c r="I484" s="73"/>
      <c r="J484" s="73"/>
      <c r="K484" s="73"/>
      <c r="L484" s="73"/>
      <c r="M484" s="73"/>
      <c r="N484" s="24"/>
      <c r="O484" s="24"/>
      <c r="P484" s="24"/>
      <c r="Q484" s="24"/>
      <c r="R484" s="24"/>
      <c r="S484" s="24"/>
      <c r="T484" s="24"/>
      <c r="U484" s="24"/>
    </row>
    <row r="485">
      <c r="A485" s="73"/>
      <c r="B485" s="73"/>
      <c r="C485" s="73"/>
      <c r="D485" s="73"/>
      <c r="E485" s="73"/>
      <c r="F485" s="87"/>
      <c r="G485" s="73"/>
      <c r="H485" s="73"/>
      <c r="I485" s="73"/>
      <c r="J485" s="73"/>
      <c r="K485" s="73"/>
      <c r="L485" s="73"/>
      <c r="M485" s="73"/>
      <c r="N485" s="24"/>
      <c r="O485" s="24"/>
      <c r="P485" s="24"/>
      <c r="Q485" s="24"/>
      <c r="R485" s="24"/>
      <c r="S485" s="24"/>
      <c r="T485" s="24"/>
      <c r="U485" s="24"/>
    </row>
    <row r="486">
      <c r="A486" s="73"/>
      <c r="B486" s="73"/>
      <c r="C486" s="73"/>
      <c r="D486" s="73"/>
      <c r="E486" s="73"/>
      <c r="F486" s="87"/>
      <c r="G486" s="73"/>
      <c r="H486" s="73"/>
      <c r="I486" s="73"/>
      <c r="J486" s="73"/>
      <c r="K486" s="73"/>
      <c r="L486" s="73"/>
      <c r="M486" s="73"/>
      <c r="N486" s="24"/>
      <c r="O486" s="24"/>
      <c r="P486" s="24"/>
      <c r="Q486" s="24"/>
      <c r="R486" s="24"/>
      <c r="S486" s="24"/>
      <c r="T486" s="24"/>
      <c r="U486" s="24"/>
    </row>
    <row r="487">
      <c r="A487" s="73"/>
      <c r="B487" s="73"/>
      <c r="C487" s="73"/>
      <c r="D487" s="73"/>
      <c r="E487" s="73"/>
      <c r="F487" s="87"/>
      <c r="G487" s="73"/>
      <c r="H487" s="73"/>
      <c r="I487" s="73"/>
      <c r="J487" s="73"/>
      <c r="K487" s="73"/>
      <c r="L487" s="73"/>
      <c r="M487" s="73"/>
      <c r="N487" s="24"/>
      <c r="O487" s="24"/>
      <c r="P487" s="24"/>
      <c r="Q487" s="24"/>
      <c r="R487" s="24"/>
      <c r="S487" s="24"/>
      <c r="T487" s="24"/>
      <c r="U487" s="24"/>
    </row>
    <row r="488">
      <c r="A488" s="73"/>
      <c r="B488" s="73"/>
      <c r="C488" s="73"/>
      <c r="D488" s="73"/>
      <c r="E488" s="73"/>
      <c r="F488" s="87"/>
      <c r="G488" s="73"/>
      <c r="H488" s="73"/>
      <c r="I488" s="73"/>
      <c r="J488" s="73"/>
      <c r="K488" s="73"/>
      <c r="L488" s="73"/>
      <c r="M488" s="73"/>
      <c r="N488" s="24"/>
      <c r="O488" s="24"/>
      <c r="P488" s="24"/>
      <c r="Q488" s="24"/>
      <c r="R488" s="24"/>
      <c r="S488" s="24"/>
      <c r="T488" s="24"/>
      <c r="U488" s="24"/>
    </row>
    <row r="489">
      <c r="A489" s="73"/>
      <c r="B489" s="73"/>
      <c r="C489" s="73"/>
      <c r="D489" s="73"/>
      <c r="E489" s="73"/>
      <c r="F489" s="87"/>
      <c r="G489" s="73"/>
      <c r="H489" s="73"/>
      <c r="I489" s="73"/>
      <c r="J489" s="73"/>
      <c r="K489" s="73"/>
      <c r="L489" s="73"/>
      <c r="M489" s="73"/>
      <c r="N489" s="24"/>
      <c r="O489" s="24"/>
      <c r="P489" s="24"/>
      <c r="Q489" s="24"/>
      <c r="R489" s="24"/>
      <c r="S489" s="24"/>
      <c r="T489" s="24"/>
      <c r="U489" s="24"/>
    </row>
    <row r="490">
      <c r="A490" s="73"/>
      <c r="B490" s="73"/>
      <c r="C490" s="73"/>
      <c r="D490" s="73"/>
      <c r="E490" s="73"/>
      <c r="F490" s="87"/>
      <c r="G490" s="73"/>
      <c r="H490" s="73"/>
      <c r="I490" s="73"/>
      <c r="J490" s="73"/>
      <c r="K490" s="73"/>
      <c r="L490" s="73"/>
      <c r="M490" s="73"/>
      <c r="N490" s="24"/>
      <c r="O490" s="24"/>
      <c r="P490" s="24"/>
      <c r="Q490" s="24"/>
      <c r="R490" s="24"/>
      <c r="S490" s="24"/>
      <c r="T490" s="24"/>
      <c r="U490" s="24"/>
    </row>
    <row r="491">
      <c r="A491" s="73"/>
      <c r="B491" s="73"/>
      <c r="C491" s="73"/>
      <c r="D491" s="73"/>
      <c r="E491" s="73"/>
      <c r="F491" s="87"/>
      <c r="G491" s="73"/>
      <c r="H491" s="73"/>
      <c r="I491" s="73"/>
      <c r="J491" s="73"/>
      <c r="K491" s="73"/>
      <c r="L491" s="73"/>
      <c r="M491" s="73"/>
      <c r="N491" s="24"/>
      <c r="O491" s="24"/>
      <c r="P491" s="24"/>
      <c r="Q491" s="24"/>
      <c r="R491" s="24"/>
      <c r="S491" s="24"/>
      <c r="T491" s="24"/>
      <c r="U491" s="24"/>
    </row>
    <row r="492">
      <c r="A492" s="73"/>
      <c r="B492" s="73"/>
      <c r="C492" s="73"/>
      <c r="D492" s="73"/>
      <c r="E492" s="73"/>
      <c r="F492" s="87"/>
      <c r="G492" s="73"/>
      <c r="H492" s="73"/>
      <c r="I492" s="73"/>
      <c r="J492" s="73"/>
      <c r="K492" s="73"/>
      <c r="L492" s="73"/>
      <c r="M492" s="73"/>
      <c r="N492" s="24"/>
      <c r="O492" s="24"/>
      <c r="P492" s="24"/>
      <c r="Q492" s="24"/>
      <c r="R492" s="24"/>
      <c r="S492" s="24"/>
      <c r="T492" s="24"/>
      <c r="U492" s="24"/>
    </row>
    <row r="493">
      <c r="A493" s="73"/>
      <c r="B493" s="73"/>
      <c r="C493" s="73"/>
      <c r="D493" s="73"/>
      <c r="E493" s="73"/>
      <c r="F493" s="87"/>
      <c r="G493" s="73"/>
      <c r="H493" s="73"/>
      <c r="I493" s="73"/>
      <c r="J493" s="73"/>
      <c r="K493" s="73"/>
      <c r="L493" s="73"/>
      <c r="M493" s="73"/>
      <c r="N493" s="24"/>
      <c r="O493" s="24"/>
      <c r="P493" s="24"/>
      <c r="Q493" s="24"/>
      <c r="R493" s="24"/>
      <c r="S493" s="24"/>
      <c r="T493" s="24"/>
      <c r="U493" s="24"/>
    </row>
    <row r="494">
      <c r="A494" s="73"/>
      <c r="B494" s="73"/>
      <c r="C494" s="73"/>
      <c r="D494" s="73"/>
      <c r="E494" s="73"/>
      <c r="F494" s="87"/>
      <c r="G494" s="73"/>
      <c r="H494" s="73"/>
      <c r="I494" s="73"/>
      <c r="J494" s="73"/>
      <c r="K494" s="73"/>
      <c r="L494" s="73"/>
      <c r="M494" s="73"/>
      <c r="N494" s="24"/>
      <c r="O494" s="24"/>
      <c r="P494" s="24"/>
      <c r="Q494" s="24"/>
      <c r="R494" s="24"/>
      <c r="S494" s="24"/>
      <c r="T494" s="24"/>
      <c r="U494" s="24"/>
    </row>
    <row r="495">
      <c r="A495" s="73"/>
      <c r="B495" s="73"/>
      <c r="C495" s="73"/>
      <c r="D495" s="73"/>
      <c r="E495" s="73"/>
      <c r="F495" s="87"/>
      <c r="G495" s="73"/>
      <c r="H495" s="73"/>
      <c r="I495" s="73"/>
      <c r="J495" s="73"/>
      <c r="K495" s="73"/>
      <c r="L495" s="73"/>
      <c r="M495" s="73"/>
      <c r="N495" s="24"/>
      <c r="O495" s="24"/>
      <c r="P495" s="24"/>
      <c r="Q495" s="24"/>
      <c r="R495" s="24"/>
      <c r="S495" s="24"/>
      <c r="T495" s="24"/>
      <c r="U495" s="24"/>
    </row>
    <row r="496">
      <c r="A496" s="73"/>
      <c r="B496" s="73"/>
      <c r="C496" s="73"/>
      <c r="D496" s="73"/>
      <c r="E496" s="73"/>
      <c r="F496" s="87"/>
      <c r="G496" s="73"/>
      <c r="H496" s="73"/>
      <c r="I496" s="73"/>
      <c r="J496" s="73"/>
      <c r="K496" s="73"/>
      <c r="L496" s="73"/>
      <c r="M496" s="73"/>
      <c r="N496" s="24"/>
      <c r="O496" s="24"/>
      <c r="P496" s="24"/>
      <c r="Q496" s="24"/>
      <c r="R496" s="24"/>
      <c r="S496" s="24"/>
      <c r="T496" s="24"/>
      <c r="U496" s="24"/>
    </row>
    <row r="497">
      <c r="A497" s="73"/>
      <c r="B497" s="73"/>
      <c r="C497" s="73"/>
      <c r="D497" s="73"/>
      <c r="E497" s="73"/>
      <c r="F497" s="87"/>
      <c r="G497" s="73"/>
      <c r="H497" s="73"/>
      <c r="I497" s="73"/>
      <c r="J497" s="73"/>
      <c r="K497" s="73"/>
      <c r="L497" s="73"/>
      <c r="M497" s="73"/>
      <c r="N497" s="24"/>
      <c r="O497" s="24"/>
      <c r="P497" s="24"/>
      <c r="Q497" s="24"/>
      <c r="R497" s="24"/>
      <c r="S497" s="24"/>
      <c r="T497" s="24"/>
      <c r="U497" s="24"/>
    </row>
    <row r="498">
      <c r="A498" s="73"/>
      <c r="B498" s="73"/>
      <c r="C498" s="73"/>
      <c r="D498" s="73"/>
      <c r="E498" s="73"/>
      <c r="F498" s="87"/>
      <c r="G498" s="73"/>
      <c r="H498" s="73"/>
      <c r="I498" s="73"/>
      <c r="J498" s="73"/>
      <c r="K498" s="73"/>
      <c r="L498" s="73"/>
      <c r="M498" s="73"/>
      <c r="N498" s="24"/>
      <c r="O498" s="24"/>
      <c r="P498" s="24"/>
      <c r="Q498" s="24"/>
      <c r="R498" s="24"/>
      <c r="S498" s="24"/>
      <c r="T498" s="24"/>
      <c r="U498" s="24"/>
    </row>
    <row r="499">
      <c r="A499" s="73"/>
      <c r="B499" s="73"/>
      <c r="C499" s="73"/>
      <c r="D499" s="73"/>
      <c r="E499" s="73"/>
      <c r="F499" s="87"/>
      <c r="G499" s="73"/>
      <c r="H499" s="73"/>
      <c r="I499" s="73"/>
      <c r="J499" s="73"/>
      <c r="K499" s="73"/>
      <c r="L499" s="73"/>
      <c r="M499" s="73"/>
      <c r="N499" s="24"/>
      <c r="O499" s="24"/>
      <c r="P499" s="24"/>
      <c r="Q499" s="24"/>
      <c r="R499" s="24"/>
      <c r="S499" s="24"/>
      <c r="T499" s="24"/>
      <c r="U499" s="24"/>
    </row>
    <row r="500">
      <c r="A500" s="73"/>
      <c r="B500" s="73"/>
      <c r="C500" s="73"/>
      <c r="D500" s="73"/>
      <c r="E500" s="73"/>
      <c r="F500" s="87"/>
      <c r="G500" s="73"/>
      <c r="H500" s="73"/>
      <c r="I500" s="73"/>
      <c r="J500" s="73"/>
      <c r="K500" s="73"/>
      <c r="L500" s="73"/>
      <c r="M500" s="73"/>
      <c r="N500" s="24"/>
      <c r="O500" s="24"/>
      <c r="P500" s="24"/>
      <c r="Q500" s="24"/>
      <c r="R500" s="24"/>
      <c r="S500" s="24"/>
      <c r="T500" s="24"/>
      <c r="U500" s="24"/>
    </row>
    <row r="501">
      <c r="A501" s="73"/>
      <c r="B501" s="73"/>
      <c r="C501" s="73"/>
      <c r="D501" s="73"/>
      <c r="E501" s="73"/>
      <c r="F501" s="87"/>
      <c r="G501" s="73"/>
      <c r="H501" s="73"/>
      <c r="I501" s="73"/>
      <c r="J501" s="73"/>
      <c r="K501" s="73"/>
      <c r="L501" s="73"/>
      <c r="M501" s="73"/>
      <c r="N501" s="24"/>
      <c r="O501" s="24"/>
      <c r="P501" s="24"/>
      <c r="Q501" s="24"/>
      <c r="R501" s="24"/>
      <c r="S501" s="24"/>
      <c r="T501" s="24"/>
      <c r="U501" s="24"/>
    </row>
    <row r="502">
      <c r="A502" s="73"/>
      <c r="B502" s="73"/>
      <c r="C502" s="73"/>
      <c r="D502" s="73"/>
      <c r="E502" s="73"/>
      <c r="F502" s="87"/>
      <c r="G502" s="73"/>
      <c r="H502" s="73"/>
      <c r="I502" s="73"/>
      <c r="J502" s="73"/>
      <c r="K502" s="73"/>
      <c r="L502" s="73"/>
      <c r="M502" s="73"/>
      <c r="N502" s="24"/>
      <c r="O502" s="24"/>
      <c r="P502" s="24"/>
      <c r="Q502" s="24"/>
      <c r="R502" s="24"/>
      <c r="S502" s="24"/>
      <c r="T502" s="24"/>
      <c r="U502" s="24"/>
    </row>
    <row r="503">
      <c r="A503" s="73"/>
      <c r="B503" s="73"/>
      <c r="C503" s="73"/>
      <c r="D503" s="73"/>
      <c r="E503" s="73"/>
      <c r="F503" s="87"/>
      <c r="G503" s="73"/>
      <c r="H503" s="73"/>
      <c r="I503" s="73"/>
      <c r="J503" s="73"/>
      <c r="K503" s="73"/>
      <c r="L503" s="73"/>
      <c r="M503" s="73"/>
      <c r="N503" s="24"/>
      <c r="O503" s="24"/>
      <c r="P503" s="24"/>
      <c r="Q503" s="24"/>
      <c r="R503" s="24"/>
      <c r="S503" s="24"/>
      <c r="T503" s="24"/>
      <c r="U503" s="24"/>
    </row>
    <row r="504">
      <c r="A504" s="73"/>
      <c r="B504" s="73"/>
      <c r="C504" s="73"/>
      <c r="D504" s="73"/>
      <c r="E504" s="73"/>
      <c r="F504" s="87"/>
      <c r="G504" s="73"/>
      <c r="H504" s="73"/>
      <c r="I504" s="73"/>
      <c r="J504" s="73"/>
      <c r="K504" s="73"/>
      <c r="L504" s="73"/>
      <c r="M504" s="73"/>
      <c r="N504" s="24"/>
      <c r="O504" s="24"/>
      <c r="P504" s="24"/>
      <c r="Q504" s="24"/>
      <c r="R504" s="24"/>
      <c r="S504" s="24"/>
      <c r="T504" s="24"/>
      <c r="U504" s="24"/>
    </row>
    <row r="505">
      <c r="A505" s="73"/>
      <c r="B505" s="73"/>
      <c r="C505" s="73"/>
      <c r="D505" s="73"/>
      <c r="E505" s="73"/>
      <c r="F505" s="87"/>
      <c r="G505" s="73"/>
      <c r="H505" s="73"/>
      <c r="I505" s="73"/>
      <c r="J505" s="73"/>
      <c r="K505" s="73"/>
      <c r="L505" s="73"/>
      <c r="M505" s="73"/>
      <c r="N505" s="24"/>
      <c r="O505" s="24"/>
      <c r="P505" s="24"/>
      <c r="Q505" s="24"/>
      <c r="R505" s="24"/>
      <c r="S505" s="24"/>
      <c r="T505" s="24"/>
      <c r="U505" s="24"/>
    </row>
    <row r="506">
      <c r="A506" s="73"/>
      <c r="B506" s="73"/>
      <c r="C506" s="73"/>
      <c r="D506" s="73"/>
      <c r="E506" s="73"/>
      <c r="F506" s="87"/>
      <c r="G506" s="73"/>
      <c r="H506" s="73"/>
      <c r="I506" s="73"/>
      <c r="J506" s="73"/>
      <c r="K506" s="73"/>
      <c r="L506" s="73"/>
      <c r="M506" s="73"/>
      <c r="N506" s="24"/>
      <c r="O506" s="24"/>
      <c r="P506" s="24"/>
      <c r="Q506" s="24"/>
      <c r="R506" s="24"/>
      <c r="S506" s="24"/>
      <c r="T506" s="24"/>
      <c r="U506" s="24"/>
    </row>
    <row r="507">
      <c r="A507" s="73"/>
      <c r="B507" s="73"/>
      <c r="C507" s="73"/>
      <c r="D507" s="73"/>
      <c r="E507" s="73"/>
      <c r="F507" s="87"/>
      <c r="G507" s="73"/>
      <c r="H507" s="73"/>
      <c r="I507" s="73"/>
      <c r="J507" s="73"/>
      <c r="K507" s="73"/>
      <c r="L507" s="73"/>
      <c r="M507" s="73"/>
      <c r="N507" s="24"/>
      <c r="O507" s="24"/>
      <c r="P507" s="24"/>
      <c r="Q507" s="24"/>
      <c r="R507" s="24"/>
      <c r="S507" s="24"/>
      <c r="T507" s="24"/>
      <c r="U507" s="24"/>
    </row>
    <row r="508">
      <c r="A508" s="73"/>
      <c r="B508" s="73"/>
      <c r="C508" s="73"/>
      <c r="D508" s="73"/>
      <c r="E508" s="73"/>
      <c r="F508" s="87"/>
      <c r="G508" s="73"/>
      <c r="H508" s="73"/>
      <c r="I508" s="73"/>
      <c r="J508" s="73"/>
      <c r="K508" s="73"/>
      <c r="L508" s="73"/>
      <c r="M508" s="73"/>
      <c r="N508" s="24"/>
      <c r="O508" s="24"/>
      <c r="P508" s="24"/>
      <c r="Q508" s="24"/>
      <c r="R508" s="24"/>
      <c r="S508" s="24"/>
      <c r="T508" s="24"/>
      <c r="U508" s="24"/>
    </row>
    <row r="509">
      <c r="A509" s="73"/>
      <c r="B509" s="73"/>
      <c r="C509" s="73"/>
      <c r="D509" s="73"/>
      <c r="E509" s="73"/>
      <c r="F509" s="87"/>
      <c r="G509" s="73"/>
      <c r="H509" s="73"/>
      <c r="I509" s="73"/>
      <c r="J509" s="73"/>
      <c r="K509" s="73"/>
      <c r="L509" s="73"/>
      <c r="M509" s="73"/>
      <c r="N509" s="24"/>
      <c r="O509" s="24"/>
      <c r="P509" s="24"/>
      <c r="Q509" s="24"/>
      <c r="R509" s="24"/>
      <c r="S509" s="24"/>
      <c r="T509" s="24"/>
      <c r="U509" s="24"/>
    </row>
    <row r="510">
      <c r="A510" s="73"/>
      <c r="B510" s="73"/>
      <c r="C510" s="73"/>
      <c r="D510" s="73"/>
      <c r="E510" s="73"/>
      <c r="F510" s="87"/>
      <c r="G510" s="73"/>
      <c r="H510" s="73"/>
      <c r="I510" s="73"/>
      <c r="J510" s="73"/>
      <c r="K510" s="73"/>
      <c r="L510" s="73"/>
      <c r="M510" s="73"/>
      <c r="N510" s="24"/>
      <c r="O510" s="24"/>
      <c r="P510" s="24"/>
      <c r="Q510" s="24"/>
      <c r="R510" s="24"/>
      <c r="S510" s="24"/>
      <c r="T510" s="24"/>
      <c r="U510" s="24"/>
    </row>
    <row r="511">
      <c r="A511" s="73"/>
      <c r="B511" s="73"/>
      <c r="C511" s="73"/>
      <c r="D511" s="73"/>
      <c r="E511" s="73"/>
      <c r="F511" s="87"/>
      <c r="G511" s="73"/>
      <c r="H511" s="73"/>
      <c r="I511" s="73"/>
      <c r="J511" s="73"/>
      <c r="K511" s="73"/>
      <c r="L511" s="73"/>
      <c r="M511" s="73"/>
      <c r="N511" s="24"/>
      <c r="O511" s="24"/>
      <c r="P511" s="24"/>
      <c r="Q511" s="24"/>
      <c r="R511" s="24"/>
      <c r="S511" s="24"/>
      <c r="T511" s="24"/>
      <c r="U511" s="24"/>
    </row>
    <row r="512">
      <c r="A512" s="73"/>
      <c r="B512" s="73"/>
      <c r="C512" s="73"/>
      <c r="D512" s="73"/>
      <c r="E512" s="73"/>
      <c r="F512" s="87"/>
      <c r="G512" s="73"/>
      <c r="H512" s="73"/>
      <c r="I512" s="73"/>
      <c r="J512" s="73"/>
      <c r="K512" s="73"/>
      <c r="L512" s="73"/>
      <c r="M512" s="73"/>
      <c r="N512" s="24"/>
      <c r="O512" s="24"/>
      <c r="P512" s="24"/>
      <c r="Q512" s="24"/>
      <c r="R512" s="24"/>
      <c r="S512" s="24"/>
      <c r="T512" s="24"/>
      <c r="U512" s="24"/>
    </row>
    <row r="513">
      <c r="A513" s="73"/>
      <c r="B513" s="73"/>
      <c r="C513" s="73"/>
      <c r="D513" s="73"/>
      <c r="E513" s="73"/>
      <c r="F513" s="87"/>
      <c r="G513" s="73"/>
      <c r="H513" s="73"/>
      <c r="I513" s="73"/>
      <c r="J513" s="73"/>
      <c r="K513" s="73"/>
      <c r="L513" s="73"/>
      <c r="M513" s="73"/>
      <c r="N513" s="24"/>
      <c r="O513" s="24"/>
      <c r="P513" s="24"/>
      <c r="Q513" s="24"/>
      <c r="R513" s="24"/>
      <c r="S513" s="24"/>
      <c r="T513" s="24"/>
      <c r="U513" s="24"/>
    </row>
    <row r="514">
      <c r="A514" s="73"/>
      <c r="B514" s="73"/>
      <c r="C514" s="73"/>
      <c r="D514" s="73"/>
      <c r="E514" s="73"/>
      <c r="F514" s="87"/>
      <c r="G514" s="73"/>
      <c r="H514" s="73"/>
      <c r="I514" s="73"/>
      <c r="J514" s="73"/>
      <c r="K514" s="73"/>
      <c r="L514" s="73"/>
      <c r="M514" s="73"/>
      <c r="N514" s="24"/>
      <c r="O514" s="24"/>
      <c r="P514" s="24"/>
      <c r="Q514" s="24"/>
      <c r="R514" s="24"/>
      <c r="S514" s="24"/>
      <c r="T514" s="24"/>
      <c r="U514" s="24"/>
    </row>
    <row r="515">
      <c r="A515" s="73"/>
      <c r="B515" s="73"/>
      <c r="C515" s="73"/>
      <c r="D515" s="73"/>
      <c r="E515" s="73"/>
      <c r="F515" s="87"/>
      <c r="G515" s="73"/>
      <c r="H515" s="73"/>
      <c r="I515" s="73"/>
      <c r="J515" s="73"/>
      <c r="K515" s="73"/>
      <c r="L515" s="73"/>
      <c r="M515" s="73"/>
      <c r="N515" s="24"/>
      <c r="O515" s="24"/>
      <c r="P515" s="24"/>
      <c r="Q515" s="24"/>
      <c r="R515" s="24"/>
      <c r="S515" s="24"/>
      <c r="T515" s="24"/>
      <c r="U515" s="24"/>
    </row>
    <row r="516">
      <c r="A516" s="73"/>
      <c r="B516" s="73"/>
      <c r="C516" s="73"/>
      <c r="D516" s="73"/>
      <c r="E516" s="73"/>
      <c r="F516" s="87"/>
      <c r="G516" s="73"/>
      <c r="H516" s="73"/>
      <c r="I516" s="73"/>
      <c r="J516" s="73"/>
      <c r="K516" s="73"/>
      <c r="L516" s="73"/>
      <c r="M516" s="73"/>
      <c r="N516" s="24"/>
      <c r="O516" s="24"/>
      <c r="P516" s="24"/>
      <c r="Q516" s="24"/>
      <c r="R516" s="24"/>
      <c r="S516" s="24"/>
      <c r="T516" s="24"/>
      <c r="U516" s="24"/>
    </row>
    <row r="517">
      <c r="A517" s="73"/>
      <c r="B517" s="73"/>
      <c r="C517" s="73"/>
      <c r="D517" s="73"/>
      <c r="E517" s="73"/>
      <c r="F517" s="87"/>
      <c r="G517" s="73"/>
      <c r="H517" s="73"/>
      <c r="I517" s="73"/>
      <c r="J517" s="73"/>
      <c r="K517" s="73"/>
      <c r="L517" s="73"/>
      <c r="M517" s="73"/>
      <c r="N517" s="24"/>
      <c r="O517" s="24"/>
      <c r="P517" s="24"/>
      <c r="Q517" s="24"/>
      <c r="R517" s="24"/>
      <c r="S517" s="24"/>
      <c r="T517" s="24"/>
      <c r="U517" s="24"/>
    </row>
    <row r="518">
      <c r="A518" s="73"/>
      <c r="B518" s="73"/>
      <c r="C518" s="73"/>
      <c r="D518" s="73"/>
      <c r="E518" s="73"/>
      <c r="F518" s="87"/>
      <c r="G518" s="73"/>
      <c r="H518" s="73"/>
      <c r="I518" s="73"/>
      <c r="J518" s="73"/>
      <c r="K518" s="73"/>
      <c r="L518" s="73"/>
      <c r="M518" s="73"/>
      <c r="N518" s="24"/>
      <c r="O518" s="24"/>
      <c r="P518" s="24"/>
      <c r="Q518" s="24"/>
      <c r="R518" s="24"/>
      <c r="S518" s="24"/>
      <c r="T518" s="24"/>
      <c r="U518" s="24"/>
    </row>
    <row r="519">
      <c r="A519" s="73"/>
      <c r="B519" s="73"/>
      <c r="C519" s="73"/>
      <c r="D519" s="73"/>
      <c r="E519" s="73"/>
      <c r="F519" s="87"/>
      <c r="G519" s="73"/>
      <c r="H519" s="73"/>
      <c r="I519" s="73"/>
      <c r="J519" s="73"/>
      <c r="K519" s="73"/>
      <c r="L519" s="73"/>
      <c r="M519" s="73"/>
      <c r="N519" s="24"/>
      <c r="O519" s="24"/>
      <c r="P519" s="24"/>
      <c r="Q519" s="24"/>
      <c r="R519" s="24"/>
      <c r="S519" s="24"/>
      <c r="T519" s="24"/>
      <c r="U519" s="24"/>
    </row>
    <row r="520">
      <c r="A520" s="73"/>
      <c r="B520" s="73"/>
      <c r="C520" s="73"/>
      <c r="D520" s="73"/>
      <c r="E520" s="73"/>
      <c r="F520" s="87"/>
      <c r="G520" s="73"/>
      <c r="H520" s="73"/>
      <c r="I520" s="73"/>
      <c r="J520" s="73"/>
      <c r="K520" s="73"/>
      <c r="L520" s="73"/>
      <c r="M520" s="73"/>
      <c r="N520" s="24"/>
      <c r="O520" s="24"/>
      <c r="P520" s="24"/>
      <c r="Q520" s="24"/>
      <c r="R520" s="24"/>
      <c r="S520" s="24"/>
      <c r="T520" s="24"/>
      <c r="U520" s="24"/>
    </row>
    <row r="521">
      <c r="A521" s="73"/>
      <c r="B521" s="73"/>
      <c r="C521" s="73"/>
      <c r="D521" s="73"/>
      <c r="E521" s="73"/>
      <c r="F521" s="87"/>
      <c r="G521" s="73"/>
      <c r="H521" s="73"/>
      <c r="I521" s="73"/>
      <c r="J521" s="73"/>
      <c r="K521" s="73"/>
      <c r="L521" s="73"/>
      <c r="M521" s="73"/>
      <c r="N521" s="24"/>
      <c r="O521" s="24"/>
      <c r="P521" s="24"/>
      <c r="Q521" s="24"/>
      <c r="R521" s="24"/>
      <c r="S521" s="24"/>
      <c r="T521" s="24"/>
      <c r="U521" s="24"/>
    </row>
    <row r="522">
      <c r="A522" s="73"/>
      <c r="B522" s="73"/>
      <c r="C522" s="73"/>
      <c r="D522" s="73"/>
      <c r="E522" s="73"/>
      <c r="F522" s="87"/>
      <c r="G522" s="73"/>
      <c r="H522" s="73"/>
      <c r="I522" s="73"/>
      <c r="J522" s="73"/>
      <c r="K522" s="73"/>
      <c r="L522" s="73"/>
      <c r="M522" s="73"/>
      <c r="N522" s="24"/>
      <c r="O522" s="24"/>
      <c r="P522" s="24"/>
      <c r="Q522" s="24"/>
      <c r="R522" s="24"/>
      <c r="S522" s="24"/>
      <c r="T522" s="24"/>
      <c r="U522" s="24"/>
    </row>
    <row r="523">
      <c r="A523" s="73"/>
      <c r="B523" s="73"/>
      <c r="C523" s="73"/>
      <c r="D523" s="73"/>
      <c r="E523" s="73"/>
      <c r="F523" s="87"/>
      <c r="G523" s="73"/>
      <c r="H523" s="73"/>
      <c r="I523" s="73"/>
      <c r="J523" s="73"/>
      <c r="K523" s="73"/>
      <c r="L523" s="73"/>
      <c r="M523" s="73"/>
      <c r="N523" s="24"/>
      <c r="O523" s="24"/>
      <c r="P523" s="24"/>
      <c r="Q523" s="24"/>
      <c r="R523" s="24"/>
      <c r="S523" s="24"/>
      <c r="T523" s="24"/>
      <c r="U523" s="24"/>
    </row>
    <row r="524">
      <c r="A524" s="73"/>
      <c r="B524" s="73"/>
      <c r="C524" s="73"/>
      <c r="D524" s="73"/>
      <c r="E524" s="73"/>
      <c r="F524" s="87"/>
      <c r="G524" s="73"/>
      <c r="H524" s="73"/>
      <c r="I524" s="73"/>
      <c r="J524" s="73"/>
      <c r="K524" s="73"/>
      <c r="L524" s="73"/>
      <c r="M524" s="73"/>
      <c r="N524" s="24"/>
      <c r="O524" s="24"/>
      <c r="P524" s="24"/>
      <c r="Q524" s="24"/>
      <c r="R524" s="24"/>
      <c r="S524" s="24"/>
      <c r="T524" s="24"/>
      <c r="U524" s="24"/>
    </row>
    <row r="525">
      <c r="A525" s="73"/>
      <c r="B525" s="73"/>
      <c r="C525" s="73"/>
      <c r="D525" s="73"/>
      <c r="E525" s="73"/>
      <c r="F525" s="87"/>
      <c r="G525" s="73"/>
      <c r="H525" s="73"/>
      <c r="I525" s="73"/>
      <c r="J525" s="73"/>
      <c r="K525" s="73"/>
      <c r="L525" s="73"/>
      <c r="M525" s="73"/>
      <c r="N525" s="24"/>
      <c r="O525" s="24"/>
      <c r="P525" s="24"/>
      <c r="Q525" s="24"/>
      <c r="R525" s="24"/>
      <c r="S525" s="24"/>
      <c r="T525" s="24"/>
      <c r="U525" s="24"/>
    </row>
    <row r="526">
      <c r="A526" s="73"/>
      <c r="B526" s="73"/>
      <c r="C526" s="73"/>
      <c r="D526" s="73"/>
      <c r="E526" s="73"/>
      <c r="F526" s="87"/>
      <c r="G526" s="73"/>
      <c r="H526" s="73"/>
      <c r="I526" s="73"/>
      <c r="J526" s="73"/>
      <c r="K526" s="73"/>
      <c r="L526" s="73"/>
      <c r="M526" s="73"/>
      <c r="N526" s="24"/>
      <c r="O526" s="24"/>
      <c r="P526" s="24"/>
      <c r="Q526" s="24"/>
      <c r="R526" s="24"/>
      <c r="S526" s="24"/>
      <c r="T526" s="24"/>
      <c r="U526" s="24"/>
    </row>
    <row r="527">
      <c r="A527" s="73"/>
      <c r="B527" s="73"/>
      <c r="C527" s="73"/>
      <c r="D527" s="73"/>
      <c r="E527" s="73"/>
      <c r="F527" s="87"/>
      <c r="G527" s="73"/>
      <c r="H527" s="73"/>
      <c r="I527" s="73"/>
      <c r="J527" s="73"/>
      <c r="K527" s="73"/>
      <c r="L527" s="73"/>
      <c r="M527" s="73"/>
      <c r="N527" s="24"/>
      <c r="O527" s="24"/>
      <c r="P527" s="24"/>
      <c r="Q527" s="24"/>
      <c r="R527" s="24"/>
      <c r="S527" s="24"/>
      <c r="T527" s="24"/>
      <c r="U527" s="24"/>
    </row>
    <row r="528">
      <c r="A528" s="73"/>
      <c r="B528" s="73"/>
      <c r="C528" s="73"/>
      <c r="D528" s="73"/>
      <c r="E528" s="73"/>
      <c r="F528" s="87"/>
      <c r="G528" s="73"/>
      <c r="H528" s="73"/>
      <c r="I528" s="73"/>
      <c r="J528" s="73"/>
      <c r="K528" s="73"/>
      <c r="L528" s="73"/>
      <c r="M528" s="73"/>
      <c r="N528" s="24"/>
      <c r="O528" s="24"/>
      <c r="P528" s="24"/>
      <c r="Q528" s="24"/>
      <c r="R528" s="24"/>
      <c r="S528" s="24"/>
      <c r="T528" s="24"/>
      <c r="U528" s="24"/>
    </row>
    <row r="529">
      <c r="A529" s="73"/>
      <c r="B529" s="73"/>
      <c r="C529" s="73"/>
      <c r="D529" s="73"/>
      <c r="E529" s="73"/>
      <c r="F529" s="87"/>
      <c r="G529" s="73"/>
      <c r="H529" s="73"/>
      <c r="I529" s="73"/>
      <c r="J529" s="73"/>
      <c r="K529" s="73"/>
      <c r="L529" s="73"/>
      <c r="M529" s="73"/>
      <c r="N529" s="24"/>
      <c r="O529" s="24"/>
      <c r="P529" s="24"/>
      <c r="Q529" s="24"/>
      <c r="R529" s="24"/>
      <c r="S529" s="24"/>
      <c r="T529" s="24"/>
      <c r="U529" s="24"/>
    </row>
    <row r="530">
      <c r="A530" s="73"/>
      <c r="B530" s="73"/>
      <c r="C530" s="73"/>
      <c r="D530" s="73"/>
      <c r="E530" s="73"/>
      <c r="F530" s="87"/>
      <c r="G530" s="73"/>
      <c r="H530" s="73"/>
      <c r="I530" s="73"/>
      <c r="J530" s="73"/>
      <c r="K530" s="73"/>
      <c r="L530" s="73"/>
      <c r="M530" s="73"/>
      <c r="N530" s="24"/>
      <c r="O530" s="24"/>
      <c r="P530" s="24"/>
      <c r="Q530" s="24"/>
      <c r="R530" s="24"/>
      <c r="S530" s="24"/>
      <c r="T530" s="24"/>
      <c r="U530" s="24"/>
    </row>
    <row r="531">
      <c r="A531" s="73"/>
      <c r="B531" s="73"/>
      <c r="C531" s="73"/>
      <c r="D531" s="73"/>
      <c r="E531" s="73"/>
      <c r="F531" s="87"/>
      <c r="G531" s="73"/>
      <c r="H531" s="73"/>
      <c r="I531" s="73"/>
      <c r="J531" s="73"/>
      <c r="K531" s="73"/>
      <c r="L531" s="73"/>
      <c r="M531" s="73"/>
      <c r="N531" s="24"/>
      <c r="O531" s="24"/>
      <c r="P531" s="24"/>
      <c r="Q531" s="24"/>
      <c r="R531" s="24"/>
      <c r="S531" s="24"/>
      <c r="T531" s="24"/>
      <c r="U531" s="24"/>
    </row>
    <row r="532">
      <c r="A532" s="73"/>
      <c r="B532" s="73"/>
      <c r="C532" s="73"/>
      <c r="D532" s="73"/>
      <c r="E532" s="73"/>
      <c r="F532" s="87"/>
      <c r="G532" s="73"/>
      <c r="H532" s="73"/>
      <c r="I532" s="73"/>
      <c r="J532" s="73"/>
      <c r="K532" s="73"/>
      <c r="L532" s="73"/>
      <c r="M532" s="73"/>
      <c r="N532" s="24"/>
      <c r="O532" s="24"/>
      <c r="P532" s="24"/>
      <c r="Q532" s="24"/>
      <c r="R532" s="24"/>
      <c r="S532" s="24"/>
      <c r="T532" s="24"/>
      <c r="U532" s="24"/>
    </row>
    <row r="533">
      <c r="A533" s="73"/>
      <c r="B533" s="73"/>
      <c r="C533" s="73"/>
      <c r="D533" s="73"/>
      <c r="E533" s="73"/>
      <c r="F533" s="87"/>
      <c r="G533" s="73"/>
      <c r="H533" s="73"/>
      <c r="I533" s="73"/>
      <c r="J533" s="73"/>
      <c r="K533" s="73"/>
      <c r="L533" s="73"/>
      <c r="M533" s="73"/>
      <c r="N533" s="24"/>
      <c r="O533" s="24"/>
      <c r="P533" s="24"/>
      <c r="Q533" s="24"/>
      <c r="R533" s="24"/>
      <c r="S533" s="24"/>
      <c r="T533" s="24"/>
      <c r="U533" s="24"/>
    </row>
    <row r="534">
      <c r="A534" s="73"/>
      <c r="B534" s="73"/>
      <c r="C534" s="73"/>
      <c r="D534" s="73"/>
      <c r="E534" s="73"/>
      <c r="F534" s="87"/>
      <c r="G534" s="73"/>
      <c r="H534" s="73"/>
      <c r="I534" s="73"/>
      <c r="J534" s="73"/>
      <c r="K534" s="73"/>
      <c r="L534" s="73"/>
      <c r="M534" s="73"/>
      <c r="N534" s="24"/>
      <c r="O534" s="24"/>
      <c r="P534" s="24"/>
      <c r="Q534" s="24"/>
      <c r="R534" s="24"/>
      <c r="S534" s="24"/>
      <c r="T534" s="24"/>
      <c r="U534" s="24"/>
    </row>
    <row r="535">
      <c r="A535" s="73"/>
      <c r="B535" s="73"/>
      <c r="C535" s="73"/>
      <c r="D535" s="73"/>
      <c r="E535" s="73"/>
      <c r="F535" s="87"/>
      <c r="G535" s="73"/>
      <c r="H535" s="73"/>
      <c r="I535" s="73"/>
      <c r="J535" s="73"/>
      <c r="K535" s="73"/>
      <c r="L535" s="73"/>
      <c r="M535" s="73"/>
      <c r="N535" s="24"/>
      <c r="O535" s="24"/>
      <c r="P535" s="24"/>
      <c r="Q535" s="24"/>
      <c r="R535" s="24"/>
      <c r="S535" s="24"/>
      <c r="T535" s="24"/>
      <c r="U535" s="24"/>
    </row>
    <row r="536">
      <c r="A536" s="73"/>
      <c r="B536" s="73"/>
      <c r="C536" s="73"/>
      <c r="D536" s="73"/>
      <c r="E536" s="73"/>
      <c r="F536" s="87"/>
      <c r="G536" s="73"/>
      <c r="H536" s="73"/>
      <c r="I536" s="73"/>
      <c r="J536" s="73"/>
      <c r="K536" s="73"/>
      <c r="L536" s="73"/>
      <c r="M536" s="73"/>
      <c r="N536" s="24"/>
      <c r="O536" s="24"/>
      <c r="P536" s="24"/>
      <c r="Q536" s="24"/>
      <c r="R536" s="24"/>
      <c r="S536" s="24"/>
      <c r="T536" s="24"/>
      <c r="U536" s="24"/>
    </row>
    <row r="537">
      <c r="A537" s="73"/>
      <c r="B537" s="73"/>
      <c r="C537" s="73"/>
      <c r="D537" s="73"/>
      <c r="E537" s="73"/>
      <c r="F537" s="87"/>
      <c r="G537" s="73"/>
      <c r="H537" s="73"/>
      <c r="I537" s="73"/>
      <c r="J537" s="73"/>
      <c r="K537" s="73"/>
      <c r="L537" s="73"/>
      <c r="M537" s="73"/>
      <c r="N537" s="24"/>
      <c r="O537" s="24"/>
      <c r="P537" s="24"/>
      <c r="Q537" s="24"/>
      <c r="R537" s="24"/>
      <c r="S537" s="24"/>
      <c r="T537" s="24"/>
      <c r="U537" s="24"/>
    </row>
    <row r="538">
      <c r="A538" s="73"/>
      <c r="B538" s="73"/>
      <c r="C538" s="73"/>
      <c r="D538" s="73"/>
      <c r="E538" s="73"/>
      <c r="F538" s="87"/>
      <c r="G538" s="73"/>
      <c r="H538" s="73"/>
      <c r="I538" s="73"/>
      <c r="J538" s="73"/>
      <c r="K538" s="73"/>
      <c r="L538" s="73"/>
      <c r="M538" s="73"/>
      <c r="N538" s="24"/>
      <c r="O538" s="24"/>
      <c r="P538" s="24"/>
      <c r="Q538" s="24"/>
      <c r="R538" s="24"/>
      <c r="S538" s="24"/>
      <c r="T538" s="24"/>
      <c r="U538" s="24"/>
    </row>
    <row r="539">
      <c r="A539" s="73"/>
      <c r="B539" s="73"/>
      <c r="C539" s="73"/>
      <c r="D539" s="73"/>
      <c r="E539" s="73"/>
      <c r="F539" s="87"/>
      <c r="G539" s="73"/>
      <c r="H539" s="73"/>
      <c r="I539" s="73"/>
      <c r="J539" s="73"/>
      <c r="K539" s="73"/>
      <c r="L539" s="73"/>
      <c r="M539" s="73"/>
      <c r="N539" s="24"/>
      <c r="O539" s="24"/>
      <c r="P539" s="24"/>
      <c r="Q539" s="24"/>
      <c r="R539" s="24"/>
      <c r="S539" s="24"/>
      <c r="T539" s="24"/>
      <c r="U539" s="24"/>
    </row>
    <row r="540">
      <c r="A540" s="73"/>
      <c r="B540" s="73"/>
      <c r="C540" s="73"/>
      <c r="D540" s="73"/>
      <c r="E540" s="73"/>
      <c r="F540" s="87"/>
      <c r="G540" s="73"/>
      <c r="H540" s="73"/>
      <c r="I540" s="73"/>
      <c r="J540" s="73"/>
      <c r="K540" s="73"/>
      <c r="L540" s="73"/>
      <c r="M540" s="73"/>
      <c r="N540" s="24"/>
      <c r="O540" s="24"/>
      <c r="P540" s="24"/>
      <c r="Q540" s="24"/>
      <c r="R540" s="24"/>
      <c r="S540" s="24"/>
      <c r="T540" s="24"/>
      <c r="U540" s="24"/>
    </row>
    <row r="541">
      <c r="A541" s="73"/>
      <c r="B541" s="73"/>
      <c r="C541" s="73"/>
      <c r="D541" s="73"/>
      <c r="E541" s="73"/>
      <c r="F541" s="87"/>
      <c r="G541" s="73"/>
      <c r="H541" s="73"/>
      <c r="I541" s="73"/>
      <c r="J541" s="73"/>
      <c r="K541" s="73"/>
      <c r="L541" s="73"/>
      <c r="M541" s="73"/>
      <c r="N541" s="24"/>
      <c r="O541" s="24"/>
      <c r="P541" s="24"/>
      <c r="Q541" s="24"/>
      <c r="R541" s="24"/>
      <c r="S541" s="24"/>
      <c r="T541" s="24"/>
      <c r="U541" s="24"/>
    </row>
    <row r="542">
      <c r="A542" s="73"/>
      <c r="B542" s="73"/>
      <c r="C542" s="73"/>
      <c r="D542" s="73"/>
      <c r="E542" s="73"/>
      <c r="F542" s="87"/>
      <c r="G542" s="73"/>
      <c r="H542" s="73"/>
      <c r="I542" s="73"/>
      <c r="J542" s="73"/>
      <c r="K542" s="73"/>
      <c r="L542" s="73"/>
      <c r="M542" s="73"/>
      <c r="N542" s="24"/>
      <c r="O542" s="24"/>
      <c r="P542" s="24"/>
      <c r="Q542" s="24"/>
      <c r="R542" s="24"/>
      <c r="S542" s="24"/>
      <c r="T542" s="24"/>
      <c r="U542" s="24"/>
    </row>
    <row r="543">
      <c r="A543" s="73"/>
      <c r="B543" s="73"/>
      <c r="C543" s="73"/>
      <c r="D543" s="73"/>
      <c r="E543" s="73"/>
      <c r="F543" s="87"/>
      <c r="G543" s="73"/>
      <c r="H543" s="73"/>
      <c r="I543" s="73"/>
      <c r="J543" s="73"/>
      <c r="K543" s="73"/>
      <c r="L543" s="73"/>
      <c r="M543" s="73"/>
      <c r="N543" s="24"/>
      <c r="O543" s="24"/>
      <c r="P543" s="24"/>
      <c r="Q543" s="24"/>
      <c r="R543" s="24"/>
      <c r="S543" s="24"/>
      <c r="T543" s="24"/>
      <c r="U543" s="24"/>
    </row>
    <row r="544">
      <c r="A544" s="73"/>
      <c r="B544" s="73"/>
      <c r="C544" s="73"/>
      <c r="D544" s="73"/>
      <c r="E544" s="73"/>
      <c r="F544" s="87"/>
      <c r="G544" s="73"/>
      <c r="H544" s="73"/>
      <c r="I544" s="73"/>
      <c r="J544" s="73"/>
      <c r="K544" s="73"/>
      <c r="L544" s="73"/>
      <c r="M544" s="73"/>
      <c r="N544" s="24"/>
      <c r="O544" s="24"/>
      <c r="P544" s="24"/>
      <c r="Q544" s="24"/>
      <c r="R544" s="24"/>
      <c r="S544" s="24"/>
      <c r="T544" s="24"/>
      <c r="U544" s="24"/>
    </row>
    <row r="545">
      <c r="A545" s="73"/>
      <c r="B545" s="73"/>
      <c r="C545" s="73"/>
      <c r="D545" s="73"/>
      <c r="E545" s="73"/>
      <c r="F545" s="87"/>
      <c r="G545" s="73"/>
      <c r="H545" s="73"/>
      <c r="I545" s="73"/>
      <c r="J545" s="73"/>
      <c r="K545" s="73"/>
      <c r="L545" s="73"/>
      <c r="M545" s="73"/>
      <c r="N545" s="24"/>
      <c r="O545" s="24"/>
      <c r="P545" s="24"/>
      <c r="Q545" s="24"/>
      <c r="R545" s="24"/>
      <c r="S545" s="24"/>
      <c r="T545" s="24"/>
      <c r="U545" s="24"/>
    </row>
    <row r="546">
      <c r="A546" s="73"/>
      <c r="B546" s="73"/>
      <c r="C546" s="73"/>
      <c r="D546" s="73"/>
      <c r="E546" s="73"/>
      <c r="F546" s="87"/>
      <c r="G546" s="73"/>
      <c r="H546" s="73"/>
      <c r="I546" s="73"/>
      <c r="J546" s="73"/>
      <c r="K546" s="73"/>
      <c r="L546" s="73"/>
      <c r="M546" s="73"/>
      <c r="N546" s="24"/>
      <c r="O546" s="24"/>
      <c r="P546" s="24"/>
      <c r="Q546" s="24"/>
      <c r="R546" s="24"/>
      <c r="S546" s="24"/>
      <c r="T546" s="24"/>
      <c r="U546" s="24"/>
    </row>
    <row r="547">
      <c r="A547" s="73"/>
      <c r="B547" s="73"/>
      <c r="C547" s="73"/>
      <c r="D547" s="73"/>
      <c r="E547" s="73"/>
      <c r="F547" s="87"/>
      <c r="G547" s="73"/>
      <c r="H547" s="73"/>
      <c r="I547" s="73"/>
      <c r="J547" s="73"/>
      <c r="K547" s="73"/>
      <c r="L547" s="73"/>
      <c r="M547" s="73"/>
      <c r="N547" s="24"/>
      <c r="O547" s="24"/>
      <c r="P547" s="24"/>
      <c r="Q547" s="24"/>
      <c r="R547" s="24"/>
      <c r="S547" s="24"/>
      <c r="T547" s="24"/>
      <c r="U547" s="24"/>
    </row>
    <row r="548">
      <c r="A548" s="73"/>
      <c r="B548" s="73"/>
      <c r="C548" s="73"/>
      <c r="D548" s="73"/>
      <c r="E548" s="73"/>
      <c r="F548" s="87"/>
      <c r="G548" s="73"/>
      <c r="H548" s="73"/>
      <c r="I548" s="73"/>
      <c r="J548" s="73"/>
      <c r="K548" s="73"/>
      <c r="L548" s="73"/>
      <c r="M548" s="73"/>
      <c r="N548" s="24"/>
      <c r="O548" s="24"/>
      <c r="P548" s="24"/>
      <c r="Q548" s="24"/>
      <c r="R548" s="24"/>
      <c r="S548" s="24"/>
      <c r="T548" s="24"/>
      <c r="U548" s="24"/>
    </row>
    <row r="549">
      <c r="A549" s="73"/>
      <c r="B549" s="73"/>
      <c r="C549" s="73"/>
      <c r="D549" s="73"/>
      <c r="E549" s="73"/>
      <c r="F549" s="87"/>
      <c r="G549" s="73"/>
      <c r="H549" s="73"/>
      <c r="I549" s="73"/>
      <c r="J549" s="73"/>
      <c r="K549" s="73"/>
      <c r="L549" s="73"/>
      <c r="M549" s="73"/>
      <c r="N549" s="24"/>
      <c r="O549" s="24"/>
      <c r="P549" s="24"/>
      <c r="Q549" s="24"/>
      <c r="R549" s="24"/>
      <c r="S549" s="24"/>
      <c r="T549" s="24"/>
      <c r="U549" s="24"/>
    </row>
    <row r="550">
      <c r="A550" s="73"/>
      <c r="B550" s="73"/>
      <c r="C550" s="73"/>
      <c r="D550" s="73"/>
      <c r="E550" s="73"/>
      <c r="F550" s="87"/>
      <c r="G550" s="73"/>
      <c r="H550" s="73"/>
      <c r="I550" s="73"/>
      <c r="J550" s="73"/>
      <c r="K550" s="73"/>
      <c r="L550" s="73"/>
      <c r="M550" s="73"/>
      <c r="N550" s="24"/>
      <c r="O550" s="24"/>
      <c r="P550" s="24"/>
      <c r="Q550" s="24"/>
      <c r="R550" s="24"/>
      <c r="S550" s="24"/>
      <c r="T550" s="24"/>
      <c r="U550" s="24"/>
    </row>
    <row r="551">
      <c r="A551" s="73"/>
      <c r="B551" s="73"/>
      <c r="C551" s="73"/>
      <c r="D551" s="73"/>
      <c r="E551" s="73"/>
      <c r="F551" s="87"/>
      <c r="G551" s="73"/>
      <c r="H551" s="73"/>
      <c r="I551" s="73"/>
      <c r="J551" s="73"/>
      <c r="K551" s="73"/>
      <c r="L551" s="73"/>
      <c r="M551" s="73"/>
      <c r="N551" s="24"/>
      <c r="O551" s="24"/>
      <c r="P551" s="24"/>
      <c r="Q551" s="24"/>
      <c r="R551" s="24"/>
      <c r="S551" s="24"/>
      <c r="T551" s="24"/>
      <c r="U551" s="24"/>
    </row>
    <row r="552">
      <c r="A552" s="73"/>
      <c r="B552" s="73"/>
      <c r="C552" s="73"/>
      <c r="D552" s="73"/>
      <c r="E552" s="73"/>
      <c r="F552" s="87"/>
      <c r="G552" s="73"/>
      <c r="H552" s="73"/>
      <c r="I552" s="73"/>
      <c r="J552" s="73"/>
      <c r="K552" s="73"/>
      <c r="L552" s="73"/>
      <c r="M552" s="73"/>
      <c r="N552" s="24"/>
      <c r="O552" s="24"/>
      <c r="P552" s="24"/>
      <c r="Q552" s="24"/>
      <c r="R552" s="24"/>
      <c r="S552" s="24"/>
      <c r="T552" s="24"/>
      <c r="U552" s="24"/>
    </row>
    <row r="553">
      <c r="A553" s="73"/>
      <c r="B553" s="73"/>
      <c r="C553" s="73"/>
      <c r="D553" s="73"/>
      <c r="E553" s="73"/>
      <c r="F553" s="87"/>
      <c r="G553" s="73"/>
      <c r="H553" s="73"/>
      <c r="I553" s="73"/>
      <c r="J553" s="73"/>
      <c r="K553" s="73"/>
      <c r="L553" s="73"/>
      <c r="M553" s="73"/>
      <c r="N553" s="24"/>
      <c r="O553" s="24"/>
      <c r="P553" s="24"/>
      <c r="Q553" s="24"/>
      <c r="R553" s="24"/>
      <c r="S553" s="24"/>
      <c r="T553" s="24"/>
      <c r="U553" s="24"/>
    </row>
    <row r="554">
      <c r="A554" s="73"/>
      <c r="B554" s="73"/>
      <c r="C554" s="73"/>
      <c r="D554" s="73"/>
      <c r="E554" s="73"/>
      <c r="F554" s="87"/>
      <c r="G554" s="73"/>
      <c r="H554" s="73"/>
      <c r="I554" s="73"/>
      <c r="J554" s="73"/>
      <c r="K554" s="73"/>
      <c r="L554" s="73"/>
      <c r="M554" s="73"/>
      <c r="N554" s="24"/>
      <c r="O554" s="24"/>
      <c r="P554" s="24"/>
      <c r="Q554" s="24"/>
      <c r="R554" s="24"/>
      <c r="S554" s="24"/>
      <c r="T554" s="24"/>
      <c r="U554" s="24"/>
    </row>
    <row r="555">
      <c r="A555" s="73"/>
      <c r="B555" s="73"/>
      <c r="C555" s="73"/>
      <c r="D555" s="73"/>
      <c r="E555" s="73"/>
      <c r="F555" s="87"/>
      <c r="G555" s="73"/>
      <c r="H555" s="73"/>
      <c r="I555" s="73"/>
      <c r="J555" s="73"/>
      <c r="K555" s="73"/>
      <c r="L555" s="73"/>
      <c r="M555" s="73"/>
      <c r="N555" s="24"/>
      <c r="O555" s="24"/>
      <c r="P555" s="24"/>
      <c r="Q555" s="24"/>
      <c r="R555" s="24"/>
      <c r="S555" s="24"/>
      <c r="T555" s="24"/>
      <c r="U555" s="24"/>
    </row>
    <row r="556">
      <c r="A556" s="73"/>
      <c r="B556" s="73"/>
      <c r="C556" s="73"/>
      <c r="D556" s="73"/>
      <c r="E556" s="73"/>
      <c r="F556" s="87"/>
      <c r="G556" s="73"/>
      <c r="H556" s="73"/>
      <c r="I556" s="73"/>
      <c r="J556" s="73"/>
      <c r="K556" s="73"/>
      <c r="L556" s="73"/>
      <c r="M556" s="73"/>
      <c r="N556" s="24"/>
      <c r="O556" s="24"/>
      <c r="P556" s="24"/>
      <c r="Q556" s="24"/>
      <c r="R556" s="24"/>
      <c r="S556" s="24"/>
      <c r="T556" s="24"/>
      <c r="U556" s="24"/>
    </row>
    <row r="557">
      <c r="A557" s="73"/>
      <c r="B557" s="73"/>
      <c r="C557" s="73"/>
      <c r="D557" s="73"/>
      <c r="E557" s="73"/>
      <c r="F557" s="87"/>
      <c r="G557" s="73"/>
      <c r="H557" s="73"/>
      <c r="I557" s="73"/>
      <c r="J557" s="73"/>
      <c r="K557" s="73"/>
      <c r="L557" s="73"/>
      <c r="M557" s="73"/>
      <c r="N557" s="24"/>
      <c r="O557" s="24"/>
      <c r="P557" s="24"/>
      <c r="Q557" s="24"/>
      <c r="R557" s="24"/>
      <c r="S557" s="24"/>
      <c r="T557" s="24"/>
      <c r="U557" s="24"/>
    </row>
    <row r="558">
      <c r="A558" s="73"/>
      <c r="B558" s="73"/>
      <c r="C558" s="73"/>
      <c r="D558" s="73"/>
      <c r="E558" s="73"/>
      <c r="F558" s="87"/>
      <c r="G558" s="73"/>
      <c r="H558" s="73"/>
      <c r="I558" s="73"/>
      <c r="J558" s="73"/>
      <c r="K558" s="73"/>
      <c r="L558" s="73"/>
      <c r="M558" s="73"/>
      <c r="N558" s="24"/>
      <c r="O558" s="24"/>
      <c r="P558" s="24"/>
      <c r="Q558" s="24"/>
      <c r="R558" s="24"/>
      <c r="S558" s="24"/>
      <c r="T558" s="24"/>
      <c r="U558" s="24"/>
    </row>
    <row r="559">
      <c r="A559" s="73"/>
      <c r="B559" s="73"/>
      <c r="C559" s="73"/>
      <c r="D559" s="73"/>
      <c r="E559" s="73"/>
      <c r="F559" s="87"/>
      <c r="G559" s="73"/>
      <c r="H559" s="73"/>
      <c r="I559" s="73"/>
      <c r="J559" s="73"/>
      <c r="K559" s="73"/>
      <c r="L559" s="73"/>
      <c r="M559" s="73"/>
      <c r="N559" s="24"/>
      <c r="O559" s="24"/>
      <c r="P559" s="24"/>
      <c r="Q559" s="24"/>
      <c r="R559" s="24"/>
      <c r="S559" s="24"/>
      <c r="T559" s="24"/>
      <c r="U559" s="24"/>
    </row>
    <row r="560">
      <c r="A560" s="73"/>
      <c r="B560" s="73"/>
      <c r="C560" s="73"/>
      <c r="D560" s="73"/>
      <c r="E560" s="73"/>
      <c r="F560" s="87"/>
      <c r="G560" s="73"/>
      <c r="H560" s="73"/>
      <c r="I560" s="73"/>
      <c r="J560" s="73"/>
      <c r="K560" s="73"/>
      <c r="L560" s="73"/>
      <c r="M560" s="73"/>
      <c r="N560" s="24"/>
      <c r="O560" s="24"/>
      <c r="P560" s="24"/>
      <c r="Q560" s="24"/>
      <c r="R560" s="24"/>
      <c r="S560" s="24"/>
      <c r="T560" s="24"/>
      <c r="U560" s="24"/>
    </row>
    <row r="561">
      <c r="A561" s="73"/>
      <c r="B561" s="73"/>
      <c r="C561" s="73"/>
      <c r="D561" s="73"/>
      <c r="E561" s="73"/>
      <c r="F561" s="87"/>
      <c r="G561" s="73"/>
      <c r="H561" s="73"/>
      <c r="I561" s="73"/>
      <c r="J561" s="73"/>
      <c r="K561" s="73"/>
      <c r="L561" s="73"/>
      <c r="M561" s="73"/>
      <c r="N561" s="24"/>
      <c r="O561" s="24"/>
      <c r="P561" s="24"/>
      <c r="Q561" s="24"/>
      <c r="R561" s="24"/>
      <c r="S561" s="24"/>
      <c r="T561" s="24"/>
      <c r="U561" s="24"/>
    </row>
    <row r="562">
      <c r="A562" s="73"/>
      <c r="B562" s="73"/>
      <c r="C562" s="73"/>
      <c r="D562" s="73"/>
      <c r="E562" s="73"/>
      <c r="F562" s="87"/>
      <c r="G562" s="73"/>
      <c r="H562" s="73"/>
      <c r="I562" s="73"/>
      <c r="J562" s="73"/>
      <c r="K562" s="73"/>
      <c r="L562" s="73"/>
      <c r="M562" s="73"/>
      <c r="N562" s="24"/>
      <c r="O562" s="24"/>
      <c r="P562" s="24"/>
      <c r="Q562" s="24"/>
      <c r="R562" s="24"/>
      <c r="S562" s="24"/>
      <c r="T562" s="24"/>
      <c r="U562" s="24"/>
    </row>
    <row r="563">
      <c r="A563" s="73"/>
      <c r="B563" s="73"/>
      <c r="C563" s="73"/>
      <c r="D563" s="73"/>
      <c r="E563" s="73"/>
      <c r="F563" s="87"/>
      <c r="G563" s="73"/>
      <c r="H563" s="73"/>
      <c r="I563" s="73"/>
      <c r="J563" s="73"/>
      <c r="K563" s="73"/>
      <c r="L563" s="73"/>
      <c r="M563" s="73"/>
      <c r="N563" s="24"/>
      <c r="O563" s="24"/>
      <c r="P563" s="24"/>
      <c r="Q563" s="24"/>
      <c r="R563" s="24"/>
      <c r="S563" s="24"/>
      <c r="T563" s="24"/>
      <c r="U563" s="24"/>
    </row>
    <row r="564">
      <c r="A564" s="73"/>
      <c r="B564" s="73"/>
      <c r="C564" s="73"/>
      <c r="D564" s="73"/>
      <c r="E564" s="73"/>
      <c r="F564" s="87"/>
      <c r="G564" s="73"/>
      <c r="H564" s="73"/>
      <c r="I564" s="73"/>
      <c r="J564" s="73"/>
      <c r="K564" s="73"/>
      <c r="L564" s="73"/>
      <c r="M564" s="73"/>
      <c r="N564" s="24"/>
      <c r="O564" s="24"/>
      <c r="P564" s="24"/>
      <c r="Q564" s="24"/>
      <c r="R564" s="24"/>
      <c r="S564" s="24"/>
      <c r="T564" s="24"/>
      <c r="U564" s="24"/>
    </row>
    <row r="565">
      <c r="A565" s="73"/>
      <c r="B565" s="73"/>
      <c r="C565" s="73"/>
      <c r="D565" s="73"/>
      <c r="E565" s="73"/>
      <c r="F565" s="87"/>
      <c r="G565" s="73"/>
      <c r="H565" s="73"/>
      <c r="I565" s="73"/>
      <c r="J565" s="73"/>
      <c r="K565" s="73"/>
      <c r="L565" s="73"/>
      <c r="M565" s="73"/>
      <c r="N565" s="24"/>
      <c r="O565" s="24"/>
      <c r="P565" s="24"/>
      <c r="Q565" s="24"/>
      <c r="R565" s="24"/>
      <c r="S565" s="24"/>
      <c r="T565" s="24"/>
      <c r="U565" s="24"/>
    </row>
    <row r="566">
      <c r="A566" s="73"/>
      <c r="B566" s="73"/>
      <c r="C566" s="73"/>
      <c r="D566" s="73"/>
      <c r="E566" s="73"/>
      <c r="F566" s="87"/>
      <c r="G566" s="73"/>
      <c r="H566" s="73"/>
      <c r="I566" s="73"/>
      <c r="J566" s="73"/>
      <c r="K566" s="73"/>
      <c r="L566" s="73"/>
      <c r="M566" s="73"/>
      <c r="N566" s="24"/>
      <c r="O566" s="24"/>
      <c r="P566" s="24"/>
      <c r="Q566" s="24"/>
      <c r="R566" s="24"/>
      <c r="S566" s="24"/>
      <c r="T566" s="24"/>
      <c r="U566" s="24"/>
    </row>
    <row r="567">
      <c r="A567" s="73"/>
      <c r="B567" s="73"/>
      <c r="C567" s="73"/>
      <c r="D567" s="73"/>
      <c r="E567" s="73"/>
      <c r="F567" s="87"/>
      <c r="G567" s="73"/>
      <c r="H567" s="73"/>
      <c r="I567" s="73"/>
      <c r="J567" s="73"/>
      <c r="K567" s="73"/>
      <c r="L567" s="73"/>
      <c r="M567" s="73"/>
      <c r="N567" s="24"/>
      <c r="O567" s="24"/>
      <c r="P567" s="24"/>
      <c r="Q567" s="24"/>
      <c r="R567" s="24"/>
      <c r="S567" s="24"/>
      <c r="T567" s="24"/>
      <c r="U567" s="24"/>
    </row>
    <row r="568">
      <c r="A568" s="73"/>
      <c r="B568" s="73"/>
      <c r="C568" s="73"/>
      <c r="D568" s="73"/>
      <c r="E568" s="73"/>
      <c r="F568" s="87"/>
      <c r="G568" s="73"/>
      <c r="H568" s="73"/>
      <c r="I568" s="73"/>
      <c r="J568" s="73"/>
      <c r="K568" s="73"/>
      <c r="L568" s="73"/>
      <c r="M568" s="73"/>
      <c r="N568" s="24"/>
      <c r="O568" s="24"/>
      <c r="P568" s="24"/>
      <c r="Q568" s="24"/>
      <c r="R568" s="24"/>
      <c r="S568" s="24"/>
      <c r="T568" s="24"/>
      <c r="U568" s="24"/>
    </row>
    <row r="569">
      <c r="A569" s="73"/>
      <c r="B569" s="73"/>
      <c r="C569" s="73"/>
      <c r="D569" s="73"/>
      <c r="E569" s="73"/>
      <c r="F569" s="87"/>
      <c r="G569" s="73"/>
      <c r="H569" s="73"/>
      <c r="I569" s="73"/>
      <c r="J569" s="73"/>
      <c r="K569" s="73"/>
      <c r="L569" s="73"/>
      <c r="M569" s="73"/>
      <c r="N569" s="24"/>
      <c r="O569" s="24"/>
      <c r="P569" s="24"/>
      <c r="Q569" s="24"/>
      <c r="R569" s="24"/>
      <c r="S569" s="24"/>
      <c r="T569" s="24"/>
      <c r="U569" s="24"/>
    </row>
    <row r="570">
      <c r="A570" s="73"/>
      <c r="B570" s="73"/>
      <c r="C570" s="73"/>
      <c r="D570" s="73"/>
      <c r="E570" s="73"/>
      <c r="F570" s="87"/>
      <c r="G570" s="73"/>
      <c r="H570" s="73"/>
      <c r="I570" s="73"/>
      <c r="J570" s="73"/>
      <c r="K570" s="73"/>
      <c r="L570" s="73"/>
      <c r="M570" s="73"/>
      <c r="N570" s="24"/>
      <c r="O570" s="24"/>
      <c r="P570" s="24"/>
      <c r="Q570" s="24"/>
      <c r="R570" s="24"/>
      <c r="S570" s="24"/>
      <c r="T570" s="24"/>
      <c r="U570" s="24"/>
    </row>
    <row r="571">
      <c r="A571" s="73"/>
      <c r="B571" s="73"/>
      <c r="C571" s="73"/>
      <c r="D571" s="73"/>
      <c r="E571" s="73"/>
      <c r="F571" s="87"/>
      <c r="G571" s="73"/>
      <c r="H571" s="73"/>
      <c r="I571" s="73"/>
      <c r="J571" s="73"/>
      <c r="K571" s="73"/>
      <c r="L571" s="73"/>
      <c r="M571" s="73"/>
      <c r="N571" s="24"/>
      <c r="O571" s="24"/>
      <c r="P571" s="24"/>
      <c r="Q571" s="24"/>
      <c r="R571" s="24"/>
      <c r="S571" s="24"/>
      <c r="T571" s="24"/>
      <c r="U571" s="24"/>
    </row>
    <row r="572">
      <c r="A572" s="73"/>
      <c r="B572" s="73"/>
      <c r="C572" s="73"/>
      <c r="D572" s="73"/>
      <c r="E572" s="73"/>
      <c r="F572" s="87"/>
      <c r="G572" s="73"/>
      <c r="H572" s="73"/>
      <c r="I572" s="73"/>
      <c r="J572" s="73"/>
      <c r="K572" s="73"/>
      <c r="L572" s="73"/>
      <c r="M572" s="73"/>
      <c r="N572" s="24"/>
      <c r="O572" s="24"/>
      <c r="P572" s="24"/>
      <c r="Q572" s="24"/>
      <c r="R572" s="24"/>
      <c r="S572" s="24"/>
      <c r="T572" s="24"/>
      <c r="U572" s="24"/>
    </row>
    <row r="573">
      <c r="A573" s="73"/>
      <c r="B573" s="73"/>
      <c r="C573" s="73"/>
      <c r="D573" s="73"/>
      <c r="E573" s="73"/>
      <c r="F573" s="87"/>
      <c r="G573" s="73"/>
      <c r="H573" s="73"/>
      <c r="I573" s="73"/>
      <c r="J573" s="73"/>
      <c r="K573" s="73"/>
      <c r="L573" s="73"/>
      <c r="M573" s="73"/>
      <c r="N573" s="24"/>
      <c r="O573" s="24"/>
      <c r="P573" s="24"/>
      <c r="Q573" s="24"/>
      <c r="R573" s="24"/>
      <c r="S573" s="24"/>
      <c r="T573" s="24"/>
      <c r="U573" s="24"/>
    </row>
    <row r="574">
      <c r="A574" s="73"/>
      <c r="B574" s="73"/>
      <c r="C574" s="73"/>
      <c r="D574" s="73"/>
      <c r="E574" s="73"/>
      <c r="F574" s="87"/>
      <c r="G574" s="73"/>
      <c r="H574" s="73"/>
      <c r="I574" s="73"/>
      <c r="J574" s="73"/>
      <c r="K574" s="73"/>
      <c r="L574" s="73"/>
      <c r="M574" s="73"/>
      <c r="N574" s="24"/>
      <c r="O574" s="24"/>
      <c r="P574" s="24"/>
      <c r="Q574" s="24"/>
      <c r="R574" s="24"/>
      <c r="S574" s="24"/>
      <c r="T574" s="24"/>
      <c r="U574" s="24"/>
    </row>
    <row r="575">
      <c r="A575" s="73"/>
      <c r="B575" s="73"/>
      <c r="C575" s="73"/>
      <c r="D575" s="73"/>
      <c r="E575" s="73"/>
      <c r="F575" s="87"/>
      <c r="G575" s="73"/>
      <c r="H575" s="73"/>
      <c r="I575" s="73"/>
      <c r="J575" s="73"/>
      <c r="K575" s="73"/>
      <c r="L575" s="73"/>
      <c r="M575" s="73"/>
      <c r="N575" s="24"/>
      <c r="O575" s="24"/>
      <c r="P575" s="24"/>
      <c r="Q575" s="24"/>
      <c r="R575" s="24"/>
      <c r="S575" s="24"/>
      <c r="T575" s="24"/>
      <c r="U575" s="24"/>
    </row>
    <row r="576">
      <c r="A576" s="73"/>
      <c r="B576" s="73"/>
      <c r="C576" s="73"/>
      <c r="D576" s="73"/>
      <c r="E576" s="73"/>
      <c r="F576" s="87"/>
      <c r="G576" s="73"/>
      <c r="H576" s="73"/>
      <c r="I576" s="73"/>
      <c r="J576" s="73"/>
      <c r="K576" s="73"/>
      <c r="L576" s="73"/>
      <c r="M576" s="73"/>
      <c r="N576" s="24"/>
      <c r="O576" s="24"/>
      <c r="P576" s="24"/>
      <c r="Q576" s="24"/>
      <c r="R576" s="24"/>
      <c r="S576" s="24"/>
      <c r="T576" s="24"/>
      <c r="U576" s="24"/>
    </row>
    <row r="577">
      <c r="A577" s="73"/>
      <c r="B577" s="73"/>
      <c r="C577" s="73"/>
      <c r="D577" s="73"/>
      <c r="E577" s="73"/>
      <c r="F577" s="87"/>
      <c r="G577" s="73"/>
      <c r="H577" s="73"/>
      <c r="I577" s="73"/>
      <c r="J577" s="73"/>
      <c r="K577" s="73"/>
      <c r="L577" s="73"/>
      <c r="M577" s="73"/>
      <c r="N577" s="24"/>
      <c r="O577" s="24"/>
      <c r="P577" s="24"/>
      <c r="Q577" s="24"/>
      <c r="R577" s="24"/>
      <c r="S577" s="24"/>
      <c r="T577" s="24"/>
      <c r="U577" s="24"/>
    </row>
    <row r="578">
      <c r="A578" s="73"/>
      <c r="B578" s="73"/>
      <c r="C578" s="73"/>
      <c r="D578" s="73"/>
      <c r="E578" s="73"/>
      <c r="F578" s="87"/>
      <c r="G578" s="73"/>
      <c r="H578" s="73"/>
      <c r="I578" s="73"/>
      <c r="J578" s="73"/>
      <c r="K578" s="73"/>
      <c r="L578" s="73"/>
      <c r="M578" s="73"/>
      <c r="N578" s="24"/>
      <c r="O578" s="24"/>
      <c r="P578" s="24"/>
      <c r="Q578" s="24"/>
      <c r="R578" s="24"/>
      <c r="S578" s="24"/>
      <c r="T578" s="24"/>
      <c r="U578" s="24"/>
    </row>
    <row r="579">
      <c r="A579" s="73"/>
      <c r="B579" s="73"/>
      <c r="C579" s="73"/>
      <c r="D579" s="73"/>
      <c r="E579" s="73"/>
      <c r="F579" s="87"/>
      <c r="G579" s="73"/>
      <c r="H579" s="73"/>
      <c r="I579" s="73"/>
      <c r="J579" s="73"/>
      <c r="K579" s="73"/>
      <c r="L579" s="73"/>
      <c r="M579" s="73"/>
      <c r="N579" s="24"/>
      <c r="O579" s="24"/>
      <c r="P579" s="24"/>
      <c r="Q579" s="24"/>
      <c r="R579" s="24"/>
      <c r="S579" s="24"/>
      <c r="T579" s="24"/>
      <c r="U579" s="24"/>
    </row>
    <row r="580">
      <c r="A580" s="73"/>
      <c r="B580" s="73"/>
      <c r="C580" s="73"/>
      <c r="D580" s="73"/>
      <c r="E580" s="73"/>
      <c r="F580" s="87"/>
      <c r="G580" s="73"/>
      <c r="H580" s="73"/>
      <c r="I580" s="73"/>
      <c r="J580" s="73"/>
      <c r="K580" s="73"/>
      <c r="L580" s="73"/>
      <c r="M580" s="73"/>
      <c r="N580" s="24"/>
      <c r="O580" s="24"/>
      <c r="P580" s="24"/>
      <c r="Q580" s="24"/>
      <c r="R580" s="24"/>
      <c r="S580" s="24"/>
      <c r="T580" s="24"/>
      <c r="U580" s="24"/>
    </row>
    <row r="581">
      <c r="A581" s="73"/>
      <c r="B581" s="73"/>
      <c r="C581" s="73"/>
      <c r="D581" s="73"/>
      <c r="E581" s="73"/>
      <c r="F581" s="87"/>
      <c r="G581" s="73"/>
      <c r="H581" s="73"/>
      <c r="I581" s="73"/>
      <c r="J581" s="73"/>
      <c r="K581" s="73"/>
      <c r="L581" s="73"/>
      <c r="M581" s="73"/>
      <c r="N581" s="24"/>
      <c r="O581" s="24"/>
      <c r="P581" s="24"/>
      <c r="Q581" s="24"/>
      <c r="R581" s="24"/>
      <c r="S581" s="24"/>
      <c r="T581" s="24"/>
      <c r="U581" s="24"/>
    </row>
    <row r="582">
      <c r="A582" s="73"/>
      <c r="B582" s="73"/>
      <c r="C582" s="73"/>
      <c r="D582" s="73"/>
      <c r="E582" s="73"/>
      <c r="F582" s="87"/>
      <c r="G582" s="73"/>
      <c r="H582" s="73"/>
      <c r="I582" s="73"/>
      <c r="J582" s="73"/>
      <c r="K582" s="73"/>
      <c r="L582" s="73"/>
      <c r="M582" s="73"/>
      <c r="N582" s="24"/>
      <c r="O582" s="24"/>
      <c r="P582" s="24"/>
      <c r="Q582" s="24"/>
      <c r="R582" s="24"/>
      <c r="S582" s="24"/>
      <c r="T582" s="24"/>
      <c r="U582" s="24"/>
    </row>
    <row r="583">
      <c r="A583" s="73"/>
      <c r="B583" s="73"/>
      <c r="C583" s="73"/>
      <c r="D583" s="73"/>
      <c r="E583" s="73"/>
      <c r="F583" s="87"/>
      <c r="G583" s="73"/>
      <c r="H583" s="73"/>
      <c r="I583" s="73"/>
      <c r="J583" s="73"/>
      <c r="K583" s="73"/>
      <c r="L583" s="73"/>
      <c r="M583" s="73"/>
      <c r="N583" s="24"/>
      <c r="O583" s="24"/>
      <c r="P583" s="24"/>
      <c r="Q583" s="24"/>
      <c r="R583" s="24"/>
      <c r="S583" s="24"/>
      <c r="T583" s="24"/>
      <c r="U583" s="24"/>
    </row>
    <row r="584">
      <c r="A584" s="73"/>
      <c r="B584" s="73"/>
      <c r="C584" s="73"/>
      <c r="D584" s="73"/>
      <c r="E584" s="73"/>
      <c r="F584" s="87"/>
      <c r="G584" s="73"/>
      <c r="H584" s="73"/>
      <c r="I584" s="73"/>
      <c r="J584" s="73"/>
      <c r="K584" s="73"/>
      <c r="L584" s="73"/>
      <c r="M584" s="73"/>
      <c r="N584" s="24"/>
      <c r="O584" s="24"/>
      <c r="P584" s="24"/>
      <c r="Q584" s="24"/>
      <c r="R584" s="24"/>
      <c r="S584" s="24"/>
      <c r="T584" s="24"/>
      <c r="U584" s="24"/>
    </row>
    <row r="585">
      <c r="A585" s="73"/>
      <c r="B585" s="73"/>
      <c r="C585" s="73"/>
      <c r="D585" s="73"/>
      <c r="E585" s="73"/>
      <c r="F585" s="87"/>
      <c r="G585" s="73"/>
      <c r="H585" s="73"/>
      <c r="I585" s="73"/>
      <c r="J585" s="73"/>
      <c r="K585" s="73"/>
      <c r="L585" s="73"/>
      <c r="M585" s="73"/>
      <c r="N585" s="24"/>
      <c r="O585" s="24"/>
      <c r="P585" s="24"/>
      <c r="Q585" s="24"/>
      <c r="R585" s="24"/>
      <c r="S585" s="24"/>
      <c r="T585" s="24"/>
      <c r="U585" s="24"/>
    </row>
    <row r="586">
      <c r="A586" s="73"/>
      <c r="B586" s="73"/>
      <c r="C586" s="73"/>
      <c r="D586" s="73"/>
      <c r="E586" s="73"/>
      <c r="F586" s="87"/>
      <c r="G586" s="73"/>
      <c r="H586" s="73"/>
      <c r="I586" s="73"/>
      <c r="J586" s="73"/>
      <c r="K586" s="73"/>
      <c r="L586" s="73"/>
      <c r="M586" s="73"/>
      <c r="N586" s="24"/>
      <c r="O586" s="24"/>
      <c r="P586" s="24"/>
      <c r="Q586" s="24"/>
      <c r="R586" s="24"/>
      <c r="S586" s="24"/>
      <c r="T586" s="24"/>
      <c r="U586" s="24"/>
    </row>
    <row r="587">
      <c r="A587" s="73"/>
      <c r="B587" s="73"/>
      <c r="C587" s="73"/>
      <c r="D587" s="73"/>
      <c r="E587" s="73"/>
      <c r="F587" s="87"/>
      <c r="G587" s="73"/>
      <c r="H587" s="73"/>
      <c r="I587" s="73"/>
      <c r="J587" s="73"/>
      <c r="K587" s="73"/>
      <c r="L587" s="73"/>
      <c r="M587" s="73"/>
      <c r="N587" s="24"/>
      <c r="O587" s="24"/>
      <c r="P587" s="24"/>
      <c r="Q587" s="24"/>
      <c r="R587" s="24"/>
      <c r="S587" s="24"/>
      <c r="T587" s="24"/>
      <c r="U587" s="24"/>
    </row>
    <row r="588">
      <c r="A588" s="73"/>
      <c r="B588" s="73"/>
      <c r="C588" s="73"/>
      <c r="D588" s="73"/>
      <c r="E588" s="73"/>
      <c r="F588" s="87"/>
      <c r="G588" s="73"/>
      <c r="H588" s="73"/>
      <c r="I588" s="73"/>
      <c r="J588" s="73"/>
      <c r="K588" s="73"/>
      <c r="L588" s="73"/>
      <c r="M588" s="73"/>
      <c r="N588" s="24"/>
      <c r="O588" s="24"/>
      <c r="P588" s="24"/>
      <c r="Q588" s="24"/>
      <c r="R588" s="24"/>
      <c r="S588" s="24"/>
      <c r="T588" s="24"/>
      <c r="U588" s="24"/>
    </row>
    <row r="589">
      <c r="A589" s="73"/>
      <c r="B589" s="73"/>
      <c r="C589" s="73"/>
      <c r="D589" s="73"/>
      <c r="E589" s="73"/>
      <c r="F589" s="87"/>
      <c r="G589" s="73"/>
      <c r="H589" s="73"/>
      <c r="I589" s="73"/>
      <c r="J589" s="73"/>
      <c r="K589" s="73"/>
      <c r="L589" s="73"/>
      <c r="M589" s="73"/>
      <c r="N589" s="24"/>
      <c r="O589" s="24"/>
      <c r="P589" s="24"/>
      <c r="Q589" s="24"/>
      <c r="R589" s="24"/>
      <c r="S589" s="24"/>
      <c r="T589" s="24"/>
      <c r="U589" s="24"/>
    </row>
    <row r="590">
      <c r="A590" s="73"/>
      <c r="B590" s="73"/>
      <c r="C590" s="73"/>
      <c r="D590" s="73"/>
      <c r="E590" s="73"/>
      <c r="F590" s="87"/>
      <c r="G590" s="73"/>
      <c r="H590" s="73"/>
      <c r="I590" s="73"/>
      <c r="J590" s="73"/>
      <c r="K590" s="73"/>
      <c r="L590" s="73"/>
      <c r="M590" s="73"/>
      <c r="N590" s="24"/>
      <c r="O590" s="24"/>
      <c r="P590" s="24"/>
      <c r="Q590" s="24"/>
      <c r="R590" s="24"/>
      <c r="S590" s="24"/>
      <c r="T590" s="24"/>
      <c r="U590" s="24"/>
    </row>
    <row r="591">
      <c r="A591" s="73"/>
      <c r="B591" s="73"/>
      <c r="C591" s="73"/>
      <c r="D591" s="73"/>
      <c r="E591" s="73"/>
      <c r="F591" s="87"/>
      <c r="G591" s="73"/>
      <c r="H591" s="73"/>
      <c r="I591" s="73"/>
      <c r="J591" s="73"/>
      <c r="K591" s="73"/>
      <c r="L591" s="73"/>
      <c r="M591" s="73"/>
      <c r="N591" s="24"/>
      <c r="O591" s="24"/>
      <c r="P591" s="24"/>
      <c r="Q591" s="24"/>
      <c r="R591" s="24"/>
      <c r="S591" s="24"/>
      <c r="T591" s="24"/>
      <c r="U591" s="24"/>
    </row>
    <row r="592">
      <c r="A592" s="73"/>
      <c r="B592" s="73"/>
      <c r="C592" s="73"/>
      <c r="D592" s="73"/>
      <c r="E592" s="73"/>
      <c r="F592" s="87"/>
      <c r="G592" s="73"/>
      <c r="H592" s="73"/>
      <c r="I592" s="73"/>
      <c r="J592" s="73"/>
      <c r="K592" s="73"/>
      <c r="L592" s="73"/>
      <c r="M592" s="73"/>
      <c r="N592" s="24"/>
      <c r="O592" s="24"/>
      <c r="P592" s="24"/>
      <c r="Q592" s="24"/>
      <c r="R592" s="24"/>
      <c r="S592" s="24"/>
      <c r="T592" s="24"/>
      <c r="U592" s="24"/>
    </row>
    <row r="593">
      <c r="A593" s="73"/>
      <c r="B593" s="73"/>
      <c r="C593" s="73"/>
      <c r="D593" s="73"/>
      <c r="E593" s="73"/>
      <c r="F593" s="87"/>
      <c r="G593" s="73"/>
      <c r="H593" s="73"/>
      <c r="I593" s="73"/>
      <c r="J593" s="73"/>
      <c r="K593" s="73"/>
      <c r="L593" s="73"/>
      <c r="M593" s="73"/>
      <c r="N593" s="24"/>
      <c r="O593" s="24"/>
      <c r="P593" s="24"/>
      <c r="Q593" s="24"/>
      <c r="R593" s="24"/>
      <c r="S593" s="24"/>
      <c r="T593" s="24"/>
      <c r="U593" s="24"/>
    </row>
    <row r="594">
      <c r="A594" s="73"/>
      <c r="B594" s="73"/>
      <c r="C594" s="73"/>
      <c r="D594" s="73"/>
      <c r="E594" s="73"/>
      <c r="F594" s="87"/>
      <c r="G594" s="73"/>
      <c r="H594" s="73"/>
      <c r="I594" s="73"/>
      <c r="J594" s="73"/>
      <c r="K594" s="73"/>
      <c r="L594" s="73"/>
      <c r="M594" s="73"/>
      <c r="N594" s="24"/>
      <c r="O594" s="24"/>
      <c r="P594" s="24"/>
      <c r="Q594" s="24"/>
      <c r="R594" s="24"/>
      <c r="S594" s="24"/>
      <c r="T594" s="24"/>
      <c r="U594" s="24"/>
    </row>
    <row r="595">
      <c r="A595" s="73"/>
      <c r="B595" s="73"/>
      <c r="C595" s="73"/>
      <c r="D595" s="73"/>
      <c r="E595" s="73"/>
      <c r="F595" s="87"/>
      <c r="G595" s="73"/>
      <c r="H595" s="73"/>
      <c r="I595" s="73"/>
      <c r="J595" s="73"/>
      <c r="K595" s="73"/>
      <c r="L595" s="73"/>
      <c r="M595" s="73"/>
      <c r="N595" s="24"/>
      <c r="O595" s="24"/>
      <c r="P595" s="24"/>
      <c r="Q595" s="24"/>
      <c r="R595" s="24"/>
      <c r="S595" s="24"/>
      <c r="T595" s="24"/>
      <c r="U595" s="24"/>
    </row>
    <row r="596">
      <c r="A596" s="73"/>
      <c r="B596" s="73"/>
      <c r="C596" s="73"/>
      <c r="D596" s="73"/>
      <c r="E596" s="73"/>
      <c r="F596" s="87"/>
      <c r="G596" s="73"/>
      <c r="H596" s="73"/>
      <c r="I596" s="73"/>
      <c r="J596" s="73"/>
      <c r="K596" s="73"/>
      <c r="L596" s="73"/>
      <c r="M596" s="73"/>
      <c r="N596" s="24"/>
      <c r="O596" s="24"/>
      <c r="P596" s="24"/>
      <c r="Q596" s="24"/>
      <c r="R596" s="24"/>
      <c r="S596" s="24"/>
      <c r="T596" s="24"/>
      <c r="U596" s="24"/>
    </row>
    <row r="597">
      <c r="A597" s="73"/>
      <c r="B597" s="73"/>
      <c r="C597" s="73"/>
      <c r="D597" s="73"/>
      <c r="E597" s="73"/>
      <c r="F597" s="87"/>
      <c r="G597" s="73"/>
      <c r="H597" s="73"/>
      <c r="I597" s="73"/>
      <c r="J597" s="73"/>
      <c r="K597" s="73"/>
      <c r="L597" s="73"/>
      <c r="M597" s="73"/>
      <c r="N597" s="24"/>
      <c r="O597" s="24"/>
      <c r="P597" s="24"/>
      <c r="Q597" s="24"/>
      <c r="R597" s="24"/>
      <c r="S597" s="24"/>
      <c r="T597" s="24"/>
      <c r="U597" s="24"/>
    </row>
    <row r="598">
      <c r="A598" s="73"/>
      <c r="B598" s="73"/>
      <c r="C598" s="73"/>
      <c r="D598" s="73"/>
      <c r="E598" s="73"/>
      <c r="F598" s="87"/>
      <c r="G598" s="73"/>
      <c r="H598" s="73"/>
      <c r="I598" s="73"/>
      <c r="J598" s="73"/>
      <c r="K598" s="73"/>
      <c r="L598" s="73"/>
      <c r="M598" s="73"/>
      <c r="N598" s="24"/>
      <c r="O598" s="24"/>
      <c r="P598" s="24"/>
      <c r="Q598" s="24"/>
      <c r="R598" s="24"/>
      <c r="S598" s="24"/>
      <c r="T598" s="24"/>
      <c r="U598" s="24"/>
    </row>
    <row r="599">
      <c r="A599" s="73"/>
      <c r="B599" s="73"/>
      <c r="C599" s="73"/>
      <c r="D599" s="73"/>
      <c r="E599" s="73"/>
      <c r="F599" s="87"/>
      <c r="G599" s="73"/>
      <c r="H599" s="73"/>
      <c r="I599" s="73"/>
      <c r="J599" s="73"/>
      <c r="K599" s="73"/>
      <c r="L599" s="73"/>
      <c r="M599" s="73"/>
      <c r="N599" s="24"/>
      <c r="O599" s="24"/>
      <c r="P599" s="24"/>
      <c r="Q599" s="24"/>
      <c r="R599" s="24"/>
      <c r="S599" s="24"/>
      <c r="T599" s="24"/>
      <c r="U599" s="24"/>
    </row>
    <row r="600">
      <c r="A600" s="73"/>
      <c r="B600" s="73"/>
      <c r="C600" s="73"/>
      <c r="D600" s="73"/>
      <c r="E600" s="73"/>
      <c r="F600" s="87"/>
      <c r="G600" s="73"/>
      <c r="H600" s="73"/>
      <c r="I600" s="73"/>
      <c r="J600" s="73"/>
      <c r="K600" s="73"/>
      <c r="L600" s="73"/>
      <c r="M600" s="73"/>
      <c r="N600" s="24"/>
      <c r="O600" s="24"/>
      <c r="P600" s="24"/>
      <c r="Q600" s="24"/>
      <c r="R600" s="24"/>
      <c r="S600" s="24"/>
      <c r="T600" s="24"/>
      <c r="U600" s="24"/>
    </row>
    <row r="601">
      <c r="A601" s="73"/>
      <c r="B601" s="73"/>
      <c r="C601" s="73"/>
      <c r="D601" s="73"/>
      <c r="E601" s="73"/>
      <c r="F601" s="87"/>
      <c r="G601" s="73"/>
      <c r="H601" s="73"/>
      <c r="I601" s="73"/>
      <c r="J601" s="73"/>
      <c r="K601" s="73"/>
      <c r="L601" s="73"/>
      <c r="M601" s="73"/>
      <c r="N601" s="24"/>
      <c r="O601" s="24"/>
      <c r="P601" s="24"/>
      <c r="Q601" s="24"/>
      <c r="R601" s="24"/>
      <c r="S601" s="24"/>
      <c r="T601" s="24"/>
      <c r="U601" s="24"/>
    </row>
    <row r="602">
      <c r="A602" s="73"/>
      <c r="B602" s="73"/>
      <c r="C602" s="73"/>
      <c r="D602" s="73"/>
      <c r="E602" s="73"/>
      <c r="F602" s="87"/>
      <c r="G602" s="73"/>
      <c r="H602" s="73"/>
      <c r="I602" s="73"/>
      <c r="J602" s="73"/>
      <c r="K602" s="73"/>
      <c r="L602" s="73"/>
      <c r="M602" s="73"/>
      <c r="N602" s="24"/>
      <c r="O602" s="24"/>
      <c r="P602" s="24"/>
      <c r="Q602" s="24"/>
      <c r="R602" s="24"/>
      <c r="S602" s="24"/>
      <c r="T602" s="24"/>
      <c r="U602" s="24"/>
    </row>
    <row r="603">
      <c r="A603" s="73"/>
      <c r="B603" s="73"/>
      <c r="C603" s="73"/>
      <c r="D603" s="73"/>
      <c r="E603" s="73"/>
      <c r="F603" s="87"/>
      <c r="G603" s="73"/>
      <c r="H603" s="73"/>
      <c r="I603" s="73"/>
      <c r="J603" s="73"/>
      <c r="K603" s="73"/>
      <c r="L603" s="73"/>
      <c r="M603" s="73"/>
      <c r="N603" s="24"/>
      <c r="O603" s="24"/>
      <c r="P603" s="24"/>
      <c r="Q603" s="24"/>
      <c r="R603" s="24"/>
      <c r="S603" s="24"/>
      <c r="T603" s="24"/>
      <c r="U603" s="24"/>
    </row>
    <row r="604">
      <c r="A604" s="73"/>
      <c r="B604" s="73"/>
      <c r="C604" s="73"/>
      <c r="D604" s="73"/>
      <c r="E604" s="73"/>
      <c r="F604" s="87"/>
      <c r="G604" s="73"/>
      <c r="H604" s="73"/>
      <c r="I604" s="73"/>
      <c r="J604" s="73"/>
      <c r="K604" s="73"/>
      <c r="L604" s="73"/>
      <c r="M604" s="73"/>
      <c r="N604" s="24"/>
      <c r="O604" s="24"/>
      <c r="P604" s="24"/>
      <c r="Q604" s="24"/>
      <c r="R604" s="24"/>
      <c r="S604" s="24"/>
      <c r="T604" s="24"/>
      <c r="U604" s="24"/>
    </row>
    <row r="605">
      <c r="A605" s="73"/>
      <c r="B605" s="73"/>
      <c r="C605" s="73"/>
      <c r="D605" s="73"/>
      <c r="E605" s="73"/>
      <c r="F605" s="87"/>
      <c r="G605" s="73"/>
      <c r="H605" s="73"/>
      <c r="I605" s="73"/>
      <c r="J605" s="73"/>
      <c r="K605" s="73"/>
      <c r="L605" s="73"/>
      <c r="M605" s="73"/>
      <c r="N605" s="24"/>
      <c r="O605" s="24"/>
      <c r="P605" s="24"/>
      <c r="Q605" s="24"/>
      <c r="R605" s="24"/>
      <c r="S605" s="24"/>
      <c r="T605" s="24"/>
      <c r="U605" s="24"/>
    </row>
    <row r="606">
      <c r="A606" s="73"/>
      <c r="B606" s="73"/>
      <c r="C606" s="73"/>
      <c r="D606" s="73"/>
      <c r="E606" s="73"/>
      <c r="F606" s="87"/>
      <c r="G606" s="73"/>
      <c r="H606" s="73"/>
      <c r="I606" s="73"/>
      <c r="J606" s="73"/>
      <c r="K606" s="73"/>
      <c r="L606" s="73"/>
      <c r="M606" s="73"/>
      <c r="N606" s="24"/>
      <c r="O606" s="24"/>
      <c r="P606" s="24"/>
      <c r="Q606" s="24"/>
      <c r="R606" s="24"/>
      <c r="S606" s="24"/>
      <c r="T606" s="24"/>
      <c r="U606" s="24"/>
    </row>
    <row r="607">
      <c r="A607" s="73"/>
      <c r="B607" s="73"/>
      <c r="C607" s="73"/>
      <c r="D607" s="73"/>
      <c r="E607" s="73"/>
      <c r="F607" s="87"/>
      <c r="G607" s="73"/>
      <c r="H607" s="73"/>
      <c r="I607" s="73"/>
      <c r="J607" s="73"/>
      <c r="K607" s="73"/>
      <c r="L607" s="73"/>
      <c r="M607" s="73"/>
      <c r="N607" s="24"/>
      <c r="O607" s="24"/>
      <c r="P607" s="24"/>
      <c r="Q607" s="24"/>
      <c r="R607" s="24"/>
      <c r="S607" s="24"/>
      <c r="T607" s="24"/>
      <c r="U607" s="24"/>
    </row>
    <row r="608">
      <c r="A608" s="73"/>
      <c r="B608" s="73"/>
      <c r="C608" s="73"/>
      <c r="D608" s="73"/>
      <c r="E608" s="73"/>
      <c r="F608" s="87"/>
      <c r="G608" s="73"/>
      <c r="H608" s="73"/>
      <c r="I608" s="73"/>
      <c r="J608" s="73"/>
      <c r="K608" s="73"/>
      <c r="L608" s="73"/>
      <c r="M608" s="73"/>
      <c r="N608" s="24"/>
      <c r="O608" s="24"/>
      <c r="P608" s="24"/>
      <c r="Q608" s="24"/>
      <c r="R608" s="24"/>
      <c r="S608" s="24"/>
      <c r="T608" s="24"/>
      <c r="U608" s="24"/>
    </row>
    <row r="609">
      <c r="A609" s="73"/>
      <c r="B609" s="73"/>
      <c r="C609" s="73"/>
      <c r="D609" s="73"/>
      <c r="E609" s="73"/>
      <c r="F609" s="87"/>
      <c r="G609" s="73"/>
      <c r="H609" s="73"/>
      <c r="I609" s="73"/>
      <c r="J609" s="73"/>
      <c r="K609" s="73"/>
      <c r="L609" s="73"/>
      <c r="M609" s="73"/>
      <c r="N609" s="24"/>
      <c r="O609" s="24"/>
      <c r="P609" s="24"/>
      <c r="Q609" s="24"/>
      <c r="R609" s="24"/>
      <c r="S609" s="24"/>
      <c r="T609" s="24"/>
      <c r="U609" s="24"/>
    </row>
    <row r="610">
      <c r="A610" s="73"/>
      <c r="B610" s="73"/>
      <c r="C610" s="73"/>
      <c r="D610" s="73"/>
      <c r="E610" s="73"/>
      <c r="F610" s="87"/>
      <c r="G610" s="73"/>
      <c r="H610" s="73"/>
      <c r="I610" s="73"/>
      <c r="J610" s="73"/>
      <c r="K610" s="73"/>
      <c r="L610" s="73"/>
      <c r="M610" s="73"/>
      <c r="N610" s="24"/>
      <c r="O610" s="24"/>
      <c r="P610" s="24"/>
      <c r="Q610" s="24"/>
      <c r="R610" s="24"/>
      <c r="S610" s="24"/>
      <c r="T610" s="24"/>
      <c r="U610" s="24"/>
    </row>
    <row r="611">
      <c r="A611" s="73"/>
      <c r="B611" s="73"/>
      <c r="C611" s="73"/>
      <c r="D611" s="73"/>
      <c r="E611" s="73"/>
      <c r="F611" s="87"/>
      <c r="G611" s="73"/>
      <c r="H611" s="73"/>
      <c r="I611" s="73"/>
      <c r="J611" s="73"/>
      <c r="K611" s="73"/>
      <c r="L611" s="73"/>
      <c r="M611" s="73"/>
      <c r="N611" s="24"/>
      <c r="O611" s="24"/>
      <c r="P611" s="24"/>
      <c r="Q611" s="24"/>
      <c r="R611" s="24"/>
      <c r="S611" s="24"/>
      <c r="T611" s="24"/>
      <c r="U611" s="24"/>
    </row>
    <row r="612">
      <c r="A612" s="73"/>
      <c r="B612" s="73"/>
      <c r="C612" s="73"/>
      <c r="D612" s="73"/>
      <c r="E612" s="73"/>
      <c r="F612" s="87"/>
      <c r="G612" s="73"/>
      <c r="H612" s="73"/>
      <c r="I612" s="73"/>
      <c r="J612" s="73"/>
      <c r="K612" s="73"/>
      <c r="L612" s="73"/>
      <c r="M612" s="73"/>
      <c r="N612" s="24"/>
      <c r="O612" s="24"/>
      <c r="P612" s="24"/>
      <c r="Q612" s="24"/>
      <c r="R612" s="24"/>
      <c r="S612" s="24"/>
      <c r="T612" s="24"/>
      <c r="U612" s="24"/>
    </row>
    <row r="613">
      <c r="A613" s="73"/>
      <c r="B613" s="73"/>
      <c r="C613" s="73"/>
      <c r="D613" s="73"/>
      <c r="E613" s="73"/>
      <c r="F613" s="87"/>
      <c r="G613" s="73"/>
      <c r="H613" s="73"/>
      <c r="I613" s="73"/>
      <c r="J613" s="73"/>
      <c r="K613" s="73"/>
      <c r="L613" s="73"/>
      <c r="M613" s="73"/>
      <c r="N613" s="24"/>
      <c r="O613" s="24"/>
      <c r="P613" s="24"/>
      <c r="Q613" s="24"/>
      <c r="R613" s="24"/>
      <c r="S613" s="24"/>
      <c r="T613" s="24"/>
      <c r="U613" s="24"/>
    </row>
    <row r="614">
      <c r="A614" s="73"/>
      <c r="B614" s="73"/>
      <c r="C614" s="73"/>
      <c r="D614" s="73"/>
      <c r="E614" s="73"/>
      <c r="F614" s="87"/>
      <c r="G614" s="73"/>
      <c r="H614" s="73"/>
      <c r="I614" s="73"/>
      <c r="J614" s="73"/>
      <c r="K614" s="73"/>
      <c r="L614" s="73"/>
      <c r="M614" s="73"/>
      <c r="N614" s="24"/>
      <c r="O614" s="24"/>
      <c r="P614" s="24"/>
      <c r="Q614" s="24"/>
      <c r="R614" s="24"/>
      <c r="S614" s="24"/>
      <c r="T614" s="24"/>
      <c r="U614" s="24"/>
    </row>
    <row r="615">
      <c r="A615" s="73"/>
      <c r="B615" s="73"/>
      <c r="C615" s="73"/>
      <c r="D615" s="73"/>
      <c r="E615" s="73"/>
      <c r="F615" s="87"/>
      <c r="G615" s="73"/>
      <c r="H615" s="73"/>
      <c r="I615" s="73"/>
      <c r="J615" s="73"/>
      <c r="K615" s="73"/>
      <c r="L615" s="73"/>
      <c r="M615" s="73"/>
      <c r="N615" s="24"/>
      <c r="O615" s="24"/>
      <c r="P615" s="24"/>
      <c r="Q615" s="24"/>
      <c r="R615" s="24"/>
      <c r="S615" s="24"/>
      <c r="T615" s="24"/>
      <c r="U615" s="24"/>
    </row>
    <row r="616">
      <c r="A616" s="73"/>
      <c r="B616" s="73"/>
      <c r="C616" s="73"/>
      <c r="D616" s="73"/>
      <c r="E616" s="73"/>
      <c r="F616" s="87"/>
      <c r="G616" s="73"/>
      <c r="H616" s="73"/>
      <c r="I616" s="73"/>
      <c r="J616" s="73"/>
      <c r="K616" s="73"/>
      <c r="L616" s="73"/>
      <c r="M616" s="73"/>
      <c r="N616" s="24"/>
      <c r="O616" s="24"/>
      <c r="P616" s="24"/>
      <c r="Q616" s="24"/>
      <c r="R616" s="24"/>
      <c r="S616" s="24"/>
      <c r="T616" s="24"/>
      <c r="U616" s="24"/>
    </row>
    <row r="617">
      <c r="A617" s="73"/>
      <c r="B617" s="73"/>
      <c r="C617" s="73"/>
      <c r="D617" s="73"/>
      <c r="E617" s="73"/>
      <c r="F617" s="87"/>
      <c r="G617" s="73"/>
      <c r="H617" s="73"/>
      <c r="I617" s="73"/>
      <c r="J617" s="73"/>
      <c r="K617" s="73"/>
      <c r="L617" s="73"/>
      <c r="M617" s="73"/>
      <c r="N617" s="24"/>
      <c r="O617" s="24"/>
      <c r="P617" s="24"/>
      <c r="Q617" s="24"/>
      <c r="R617" s="24"/>
      <c r="S617" s="24"/>
      <c r="T617" s="24"/>
      <c r="U617" s="24"/>
    </row>
    <row r="618">
      <c r="A618" s="73"/>
      <c r="B618" s="73"/>
      <c r="C618" s="73"/>
      <c r="D618" s="73"/>
      <c r="E618" s="73"/>
      <c r="F618" s="87"/>
      <c r="G618" s="73"/>
      <c r="H618" s="73"/>
      <c r="I618" s="73"/>
      <c r="J618" s="73"/>
      <c r="K618" s="73"/>
      <c r="L618" s="73"/>
      <c r="M618" s="73"/>
      <c r="N618" s="24"/>
      <c r="O618" s="24"/>
      <c r="P618" s="24"/>
      <c r="Q618" s="24"/>
      <c r="R618" s="24"/>
      <c r="S618" s="24"/>
      <c r="T618" s="24"/>
      <c r="U618" s="24"/>
    </row>
    <row r="619">
      <c r="A619" s="73"/>
      <c r="B619" s="73"/>
      <c r="C619" s="73"/>
      <c r="D619" s="73"/>
      <c r="E619" s="73"/>
      <c r="F619" s="87"/>
      <c r="G619" s="73"/>
      <c r="H619" s="73"/>
      <c r="I619" s="73"/>
      <c r="J619" s="73"/>
      <c r="K619" s="73"/>
      <c r="L619" s="73"/>
      <c r="M619" s="73"/>
      <c r="N619" s="24"/>
      <c r="O619" s="24"/>
      <c r="P619" s="24"/>
      <c r="Q619" s="24"/>
      <c r="R619" s="24"/>
      <c r="S619" s="24"/>
      <c r="T619" s="24"/>
      <c r="U619" s="24"/>
    </row>
    <row r="620">
      <c r="A620" s="73"/>
      <c r="B620" s="73"/>
      <c r="C620" s="73"/>
      <c r="D620" s="73"/>
      <c r="E620" s="73"/>
      <c r="F620" s="87"/>
      <c r="G620" s="73"/>
      <c r="H620" s="73"/>
      <c r="I620" s="73"/>
      <c r="J620" s="73"/>
      <c r="K620" s="73"/>
      <c r="L620" s="73"/>
      <c r="M620" s="73"/>
      <c r="N620" s="24"/>
      <c r="O620" s="24"/>
      <c r="P620" s="24"/>
      <c r="Q620" s="24"/>
      <c r="R620" s="24"/>
      <c r="S620" s="24"/>
      <c r="T620" s="24"/>
      <c r="U620" s="24"/>
    </row>
    <row r="621">
      <c r="A621" s="73"/>
      <c r="B621" s="73"/>
      <c r="C621" s="73"/>
      <c r="D621" s="73"/>
      <c r="E621" s="73"/>
      <c r="F621" s="87"/>
      <c r="G621" s="73"/>
      <c r="H621" s="73"/>
      <c r="I621" s="73"/>
      <c r="J621" s="73"/>
      <c r="K621" s="73"/>
      <c r="L621" s="73"/>
      <c r="M621" s="73"/>
      <c r="N621" s="24"/>
      <c r="O621" s="24"/>
      <c r="P621" s="24"/>
      <c r="Q621" s="24"/>
      <c r="R621" s="24"/>
      <c r="S621" s="24"/>
      <c r="T621" s="24"/>
      <c r="U621" s="24"/>
    </row>
    <row r="622">
      <c r="A622" s="73"/>
      <c r="B622" s="73"/>
      <c r="C622" s="73"/>
      <c r="D622" s="73"/>
      <c r="E622" s="73"/>
      <c r="F622" s="87"/>
      <c r="G622" s="73"/>
      <c r="H622" s="73"/>
      <c r="I622" s="73"/>
      <c r="J622" s="73"/>
      <c r="K622" s="73"/>
      <c r="L622" s="73"/>
      <c r="M622" s="73"/>
      <c r="N622" s="24"/>
      <c r="O622" s="24"/>
      <c r="P622" s="24"/>
      <c r="Q622" s="24"/>
      <c r="R622" s="24"/>
      <c r="S622" s="24"/>
      <c r="T622" s="24"/>
      <c r="U622" s="24"/>
    </row>
    <row r="623">
      <c r="A623" s="73"/>
      <c r="B623" s="73"/>
      <c r="C623" s="73"/>
      <c r="D623" s="73"/>
      <c r="E623" s="73"/>
      <c r="F623" s="87"/>
      <c r="G623" s="73"/>
      <c r="H623" s="73"/>
      <c r="I623" s="73"/>
      <c r="J623" s="73"/>
      <c r="K623" s="73"/>
      <c r="L623" s="73"/>
      <c r="M623" s="73"/>
      <c r="N623" s="24"/>
      <c r="O623" s="24"/>
      <c r="P623" s="24"/>
      <c r="Q623" s="24"/>
      <c r="R623" s="24"/>
      <c r="S623" s="24"/>
      <c r="T623" s="24"/>
      <c r="U623" s="24"/>
    </row>
    <row r="624">
      <c r="A624" s="73"/>
      <c r="B624" s="73"/>
      <c r="C624" s="73"/>
      <c r="D624" s="73"/>
      <c r="E624" s="73"/>
      <c r="F624" s="87"/>
      <c r="G624" s="73"/>
      <c r="H624" s="73"/>
      <c r="I624" s="73"/>
      <c r="J624" s="73"/>
      <c r="K624" s="73"/>
      <c r="L624" s="73"/>
      <c r="M624" s="73"/>
      <c r="N624" s="24"/>
      <c r="O624" s="24"/>
      <c r="P624" s="24"/>
      <c r="Q624" s="24"/>
      <c r="R624" s="24"/>
      <c r="S624" s="24"/>
      <c r="T624" s="24"/>
      <c r="U624" s="24"/>
    </row>
    <row r="625">
      <c r="A625" s="73"/>
      <c r="B625" s="73"/>
      <c r="C625" s="73"/>
      <c r="D625" s="73"/>
      <c r="E625" s="73"/>
      <c r="F625" s="87"/>
      <c r="G625" s="73"/>
      <c r="H625" s="73"/>
      <c r="I625" s="73"/>
      <c r="J625" s="73"/>
      <c r="K625" s="73"/>
      <c r="L625" s="73"/>
      <c r="M625" s="73"/>
      <c r="N625" s="24"/>
      <c r="O625" s="24"/>
      <c r="P625" s="24"/>
      <c r="Q625" s="24"/>
      <c r="R625" s="24"/>
      <c r="S625" s="24"/>
      <c r="T625" s="24"/>
      <c r="U625" s="24"/>
    </row>
    <row r="626">
      <c r="A626" s="73"/>
      <c r="B626" s="73"/>
      <c r="C626" s="73"/>
      <c r="D626" s="73"/>
      <c r="E626" s="73"/>
      <c r="F626" s="87"/>
      <c r="G626" s="73"/>
      <c r="H626" s="73"/>
      <c r="I626" s="73"/>
      <c r="J626" s="73"/>
      <c r="K626" s="73"/>
      <c r="L626" s="73"/>
      <c r="M626" s="73"/>
      <c r="N626" s="24"/>
      <c r="O626" s="24"/>
      <c r="P626" s="24"/>
      <c r="Q626" s="24"/>
      <c r="R626" s="24"/>
      <c r="S626" s="24"/>
      <c r="T626" s="24"/>
      <c r="U626" s="24"/>
    </row>
    <row r="627">
      <c r="A627" s="73"/>
      <c r="B627" s="73"/>
      <c r="C627" s="73"/>
      <c r="D627" s="73"/>
      <c r="E627" s="73"/>
      <c r="F627" s="87"/>
      <c r="G627" s="73"/>
      <c r="H627" s="73"/>
      <c r="I627" s="73"/>
      <c r="J627" s="73"/>
      <c r="K627" s="73"/>
      <c r="L627" s="73"/>
      <c r="M627" s="73"/>
      <c r="N627" s="24"/>
      <c r="O627" s="24"/>
      <c r="P627" s="24"/>
      <c r="Q627" s="24"/>
      <c r="R627" s="24"/>
      <c r="S627" s="24"/>
      <c r="T627" s="24"/>
      <c r="U627" s="24"/>
    </row>
    <row r="628">
      <c r="A628" s="73"/>
      <c r="B628" s="73"/>
      <c r="C628" s="73"/>
      <c r="D628" s="73"/>
      <c r="E628" s="73"/>
      <c r="F628" s="87"/>
      <c r="G628" s="73"/>
      <c r="H628" s="73"/>
      <c r="I628" s="73"/>
      <c r="J628" s="73"/>
      <c r="K628" s="73"/>
      <c r="L628" s="73"/>
      <c r="M628" s="73"/>
      <c r="N628" s="24"/>
      <c r="O628" s="24"/>
      <c r="P628" s="24"/>
      <c r="Q628" s="24"/>
      <c r="R628" s="24"/>
      <c r="S628" s="24"/>
      <c r="T628" s="24"/>
      <c r="U628" s="24"/>
    </row>
    <row r="629">
      <c r="A629" s="73"/>
      <c r="B629" s="73"/>
      <c r="C629" s="73"/>
      <c r="D629" s="73"/>
      <c r="E629" s="73"/>
      <c r="F629" s="87"/>
      <c r="G629" s="73"/>
      <c r="H629" s="73"/>
      <c r="I629" s="73"/>
      <c r="J629" s="73"/>
      <c r="K629" s="73"/>
      <c r="L629" s="73"/>
      <c r="M629" s="73"/>
      <c r="N629" s="24"/>
      <c r="O629" s="24"/>
      <c r="P629" s="24"/>
      <c r="Q629" s="24"/>
      <c r="R629" s="24"/>
      <c r="S629" s="24"/>
      <c r="T629" s="24"/>
      <c r="U629" s="24"/>
    </row>
    <row r="630">
      <c r="A630" s="73"/>
      <c r="B630" s="73"/>
      <c r="C630" s="73"/>
      <c r="D630" s="73"/>
      <c r="E630" s="73"/>
      <c r="F630" s="87"/>
      <c r="G630" s="73"/>
      <c r="H630" s="73"/>
      <c r="I630" s="73"/>
      <c r="J630" s="73"/>
      <c r="K630" s="73"/>
      <c r="L630" s="73"/>
      <c r="M630" s="73"/>
      <c r="N630" s="24"/>
      <c r="O630" s="24"/>
      <c r="P630" s="24"/>
      <c r="Q630" s="24"/>
      <c r="R630" s="24"/>
      <c r="S630" s="24"/>
      <c r="T630" s="24"/>
      <c r="U630" s="24"/>
    </row>
    <row r="631">
      <c r="A631" s="73"/>
      <c r="B631" s="73"/>
      <c r="C631" s="73"/>
      <c r="D631" s="73"/>
      <c r="E631" s="73"/>
      <c r="F631" s="87"/>
      <c r="G631" s="73"/>
      <c r="H631" s="73"/>
      <c r="I631" s="73"/>
      <c r="J631" s="73"/>
      <c r="K631" s="73"/>
      <c r="L631" s="73"/>
      <c r="M631" s="73"/>
      <c r="N631" s="24"/>
      <c r="O631" s="24"/>
      <c r="P631" s="24"/>
      <c r="Q631" s="24"/>
      <c r="R631" s="24"/>
      <c r="S631" s="24"/>
      <c r="T631" s="24"/>
      <c r="U631" s="24"/>
    </row>
    <row r="632">
      <c r="A632" s="73"/>
      <c r="B632" s="73"/>
      <c r="C632" s="73"/>
      <c r="D632" s="73"/>
      <c r="E632" s="73"/>
      <c r="F632" s="87"/>
      <c r="G632" s="73"/>
      <c r="H632" s="73"/>
      <c r="I632" s="73"/>
      <c r="J632" s="73"/>
      <c r="K632" s="73"/>
      <c r="L632" s="73"/>
      <c r="M632" s="73"/>
      <c r="N632" s="24"/>
      <c r="O632" s="24"/>
      <c r="P632" s="24"/>
      <c r="Q632" s="24"/>
      <c r="R632" s="24"/>
      <c r="S632" s="24"/>
      <c r="T632" s="24"/>
      <c r="U632" s="24"/>
    </row>
    <row r="633">
      <c r="A633" s="73"/>
      <c r="B633" s="73"/>
      <c r="C633" s="73"/>
      <c r="D633" s="73"/>
      <c r="E633" s="73"/>
      <c r="F633" s="87"/>
      <c r="G633" s="73"/>
      <c r="H633" s="73"/>
      <c r="I633" s="73"/>
      <c r="J633" s="73"/>
      <c r="K633" s="73"/>
      <c r="L633" s="73"/>
      <c r="M633" s="73"/>
      <c r="N633" s="24"/>
      <c r="O633" s="24"/>
      <c r="P633" s="24"/>
      <c r="Q633" s="24"/>
      <c r="R633" s="24"/>
      <c r="S633" s="24"/>
      <c r="T633" s="24"/>
      <c r="U633" s="24"/>
    </row>
    <row r="634">
      <c r="A634" s="73"/>
      <c r="B634" s="73"/>
      <c r="C634" s="73"/>
      <c r="D634" s="73"/>
      <c r="E634" s="73"/>
      <c r="F634" s="87"/>
      <c r="G634" s="73"/>
      <c r="H634" s="73"/>
      <c r="I634" s="73"/>
      <c r="J634" s="73"/>
      <c r="K634" s="73"/>
      <c r="L634" s="73"/>
      <c r="M634" s="73"/>
      <c r="N634" s="24"/>
      <c r="O634" s="24"/>
      <c r="P634" s="24"/>
      <c r="Q634" s="24"/>
      <c r="R634" s="24"/>
      <c r="S634" s="24"/>
      <c r="T634" s="24"/>
      <c r="U634" s="24"/>
    </row>
    <row r="635">
      <c r="A635" s="73"/>
      <c r="B635" s="73"/>
      <c r="C635" s="73"/>
      <c r="D635" s="73"/>
      <c r="E635" s="73"/>
      <c r="F635" s="87"/>
      <c r="G635" s="73"/>
      <c r="H635" s="73"/>
      <c r="I635" s="73"/>
      <c r="J635" s="73"/>
      <c r="K635" s="73"/>
      <c r="L635" s="73"/>
      <c r="M635" s="73"/>
      <c r="N635" s="24"/>
      <c r="O635" s="24"/>
      <c r="P635" s="24"/>
      <c r="Q635" s="24"/>
      <c r="R635" s="24"/>
      <c r="S635" s="24"/>
      <c r="T635" s="24"/>
      <c r="U635" s="24"/>
    </row>
    <row r="636">
      <c r="A636" s="73"/>
      <c r="B636" s="73"/>
      <c r="C636" s="73"/>
      <c r="D636" s="73"/>
      <c r="E636" s="73"/>
      <c r="F636" s="87"/>
      <c r="G636" s="73"/>
      <c r="H636" s="73"/>
      <c r="I636" s="73"/>
      <c r="J636" s="73"/>
      <c r="K636" s="73"/>
      <c r="L636" s="73"/>
      <c r="M636" s="73"/>
      <c r="N636" s="24"/>
      <c r="O636" s="24"/>
      <c r="P636" s="24"/>
      <c r="Q636" s="24"/>
      <c r="R636" s="24"/>
      <c r="S636" s="24"/>
      <c r="T636" s="24"/>
      <c r="U636" s="24"/>
    </row>
    <row r="637">
      <c r="A637" s="73"/>
      <c r="B637" s="73"/>
      <c r="C637" s="73"/>
      <c r="D637" s="73"/>
      <c r="E637" s="73"/>
      <c r="F637" s="87"/>
      <c r="G637" s="73"/>
      <c r="H637" s="73"/>
      <c r="I637" s="73"/>
      <c r="J637" s="73"/>
      <c r="K637" s="73"/>
      <c r="L637" s="73"/>
      <c r="M637" s="73"/>
      <c r="N637" s="24"/>
      <c r="O637" s="24"/>
      <c r="P637" s="24"/>
      <c r="Q637" s="24"/>
      <c r="R637" s="24"/>
      <c r="S637" s="24"/>
      <c r="T637" s="24"/>
      <c r="U637" s="24"/>
    </row>
    <row r="638">
      <c r="A638" s="73"/>
      <c r="B638" s="73"/>
      <c r="C638" s="73"/>
      <c r="D638" s="73"/>
      <c r="E638" s="73"/>
      <c r="F638" s="87"/>
      <c r="G638" s="73"/>
      <c r="H638" s="73"/>
      <c r="I638" s="73"/>
      <c r="J638" s="73"/>
      <c r="K638" s="73"/>
      <c r="L638" s="73"/>
      <c r="M638" s="73"/>
      <c r="N638" s="24"/>
      <c r="O638" s="24"/>
      <c r="P638" s="24"/>
      <c r="Q638" s="24"/>
      <c r="R638" s="24"/>
      <c r="S638" s="24"/>
      <c r="T638" s="24"/>
      <c r="U638" s="24"/>
    </row>
    <row r="639">
      <c r="A639" s="73"/>
      <c r="B639" s="73"/>
      <c r="C639" s="73"/>
      <c r="D639" s="73"/>
      <c r="E639" s="73"/>
      <c r="F639" s="87"/>
      <c r="G639" s="73"/>
      <c r="H639" s="73"/>
      <c r="I639" s="73"/>
      <c r="J639" s="73"/>
      <c r="K639" s="73"/>
      <c r="L639" s="73"/>
      <c r="M639" s="73"/>
      <c r="N639" s="24"/>
      <c r="O639" s="24"/>
      <c r="P639" s="24"/>
      <c r="Q639" s="24"/>
      <c r="R639" s="24"/>
      <c r="S639" s="24"/>
      <c r="T639" s="24"/>
      <c r="U639" s="24"/>
    </row>
    <row r="640">
      <c r="A640" s="73"/>
      <c r="B640" s="73"/>
      <c r="C640" s="73"/>
      <c r="D640" s="73"/>
      <c r="E640" s="73"/>
      <c r="F640" s="87"/>
      <c r="G640" s="73"/>
      <c r="H640" s="73"/>
      <c r="I640" s="73"/>
      <c r="J640" s="73"/>
      <c r="K640" s="73"/>
      <c r="L640" s="73"/>
      <c r="M640" s="73"/>
      <c r="N640" s="24"/>
      <c r="O640" s="24"/>
      <c r="P640" s="24"/>
      <c r="Q640" s="24"/>
      <c r="R640" s="24"/>
      <c r="S640" s="24"/>
      <c r="T640" s="24"/>
      <c r="U640" s="24"/>
    </row>
    <row r="641">
      <c r="A641" s="73"/>
      <c r="B641" s="73"/>
      <c r="C641" s="73"/>
      <c r="D641" s="73"/>
      <c r="E641" s="73"/>
      <c r="F641" s="87"/>
      <c r="G641" s="73"/>
      <c r="H641" s="73"/>
      <c r="I641" s="73"/>
      <c r="J641" s="73"/>
      <c r="K641" s="73"/>
      <c r="L641" s="73"/>
      <c r="M641" s="73"/>
      <c r="N641" s="24"/>
      <c r="O641" s="24"/>
      <c r="P641" s="24"/>
      <c r="Q641" s="24"/>
      <c r="R641" s="24"/>
      <c r="S641" s="24"/>
      <c r="T641" s="24"/>
      <c r="U641" s="24"/>
    </row>
    <row r="642">
      <c r="A642" s="73"/>
      <c r="B642" s="73"/>
      <c r="C642" s="73"/>
      <c r="D642" s="73"/>
      <c r="E642" s="73"/>
      <c r="F642" s="87"/>
      <c r="G642" s="73"/>
      <c r="H642" s="73"/>
      <c r="I642" s="73"/>
      <c r="J642" s="73"/>
      <c r="K642" s="73"/>
      <c r="L642" s="73"/>
      <c r="M642" s="73"/>
      <c r="N642" s="24"/>
      <c r="O642" s="24"/>
      <c r="P642" s="24"/>
      <c r="Q642" s="24"/>
      <c r="R642" s="24"/>
      <c r="S642" s="24"/>
      <c r="T642" s="24"/>
      <c r="U642" s="24"/>
    </row>
    <row r="643">
      <c r="A643" s="73"/>
      <c r="B643" s="73"/>
      <c r="C643" s="73"/>
      <c r="D643" s="73"/>
      <c r="E643" s="73"/>
      <c r="F643" s="87"/>
      <c r="G643" s="73"/>
      <c r="H643" s="73"/>
      <c r="I643" s="73"/>
      <c r="J643" s="73"/>
      <c r="K643" s="73"/>
      <c r="L643" s="73"/>
      <c r="M643" s="73"/>
      <c r="N643" s="24"/>
      <c r="O643" s="24"/>
      <c r="P643" s="24"/>
      <c r="Q643" s="24"/>
      <c r="R643" s="24"/>
      <c r="S643" s="24"/>
      <c r="T643" s="24"/>
      <c r="U643" s="24"/>
    </row>
    <row r="644">
      <c r="A644" s="73"/>
      <c r="B644" s="73"/>
      <c r="C644" s="73"/>
      <c r="D644" s="73"/>
      <c r="E644" s="73"/>
      <c r="F644" s="87"/>
      <c r="G644" s="73"/>
      <c r="H644" s="73"/>
      <c r="I644" s="73"/>
      <c r="J644" s="73"/>
      <c r="K644" s="73"/>
      <c r="L644" s="73"/>
      <c r="M644" s="73"/>
      <c r="N644" s="24"/>
      <c r="O644" s="24"/>
      <c r="P644" s="24"/>
      <c r="Q644" s="24"/>
      <c r="R644" s="24"/>
      <c r="S644" s="24"/>
      <c r="T644" s="24"/>
      <c r="U644" s="24"/>
    </row>
    <row r="645">
      <c r="A645" s="73"/>
      <c r="B645" s="73"/>
      <c r="C645" s="73"/>
      <c r="D645" s="73"/>
      <c r="E645" s="73"/>
      <c r="F645" s="87"/>
      <c r="G645" s="73"/>
      <c r="H645" s="73"/>
      <c r="I645" s="73"/>
      <c r="J645" s="73"/>
      <c r="K645" s="73"/>
      <c r="L645" s="73"/>
      <c r="M645" s="73"/>
      <c r="N645" s="24"/>
      <c r="O645" s="24"/>
      <c r="P645" s="24"/>
      <c r="Q645" s="24"/>
      <c r="R645" s="24"/>
      <c r="S645" s="24"/>
      <c r="T645" s="24"/>
      <c r="U645" s="24"/>
    </row>
    <row r="646">
      <c r="A646" s="73"/>
      <c r="B646" s="73"/>
      <c r="C646" s="73"/>
      <c r="D646" s="73"/>
      <c r="E646" s="73"/>
      <c r="F646" s="87"/>
      <c r="G646" s="73"/>
      <c r="H646" s="73"/>
      <c r="I646" s="73"/>
      <c r="J646" s="73"/>
      <c r="K646" s="73"/>
      <c r="L646" s="73"/>
      <c r="M646" s="73"/>
      <c r="N646" s="24"/>
      <c r="O646" s="24"/>
      <c r="P646" s="24"/>
      <c r="Q646" s="24"/>
      <c r="R646" s="24"/>
      <c r="S646" s="24"/>
      <c r="T646" s="24"/>
      <c r="U646" s="24"/>
    </row>
    <row r="647">
      <c r="A647" s="73"/>
      <c r="B647" s="73"/>
      <c r="C647" s="73"/>
      <c r="D647" s="73"/>
      <c r="E647" s="73"/>
      <c r="F647" s="87"/>
      <c r="G647" s="73"/>
      <c r="H647" s="73"/>
      <c r="I647" s="73"/>
      <c r="J647" s="73"/>
      <c r="K647" s="73"/>
      <c r="L647" s="73"/>
      <c r="M647" s="73"/>
      <c r="N647" s="24"/>
      <c r="O647" s="24"/>
      <c r="P647" s="24"/>
      <c r="Q647" s="24"/>
      <c r="R647" s="24"/>
      <c r="S647" s="24"/>
      <c r="T647" s="24"/>
      <c r="U647" s="24"/>
    </row>
    <row r="648">
      <c r="A648" s="73"/>
      <c r="B648" s="73"/>
      <c r="C648" s="73"/>
      <c r="D648" s="73"/>
      <c r="E648" s="73"/>
      <c r="F648" s="87"/>
      <c r="G648" s="73"/>
      <c r="H648" s="73"/>
      <c r="I648" s="73"/>
      <c r="J648" s="73"/>
      <c r="K648" s="73"/>
      <c r="L648" s="73"/>
      <c r="M648" s="73"/>
      <c r="N648" s="24"/>
      <c r="O648" s="24"/>
      <c r="P648" s="24"/>
      <c r="Q648" s="24"/>
      <c r="R648" s="24"/>
      <c r="S648" s="24"/>
      <c r="T648" s="24"/>
      <c r="U648" s="24"/>
    </row>
    <row r="649">
      <c r="A649" s="73"/>
      <c r="B649" s="73"/>
      <c r="C649" s="73"/>
      <c r="D649" s="73"/>
      <c r="E649" s="73"/>
      <c r="F649" s="87"/>
      <c r="G649" s="73"/>
      <c r="H649" s="73"/>
      <c r="I649" s="73"/>
      <c r="J649" s="73"/>
      <c r="K649" s="73"/>
      <c r="L649" s="73"/>
      <c r="M649" s="73"/>
      <c r="N649" s="24"/>
      <c r="O649" s="24"/>
      <c r="P649" s="24"/>
      <c r="Q649" s="24"/>
      <c r="R649" s="24"/>
      <c r="S649" s="24"/>
      <c r="T649" s="24"/>
      <c r="U649" s="24"/>
    </row>
    <row r="650">
      <c r="A650" s="73"/>
      <c r="B650" s="73"/>
      <c r="C650" s="73"/>
      <c r="D650" s="73"/>
      <c r="E650" s="73"/>
      <c r="F650" s="87"/>
      <c r="G650" s="73"/>
      <c r="H650" s="73"/>
      <c r="I650" s="73"/>
      <c r="J650" s="73"/>
      <c r="K650" s="73"/>
      <c r="L650" s="73"/>
      <c r="M650" s="73"/>
      <c r="N650" s="24"/>
      <c r="O650" s="24"/>
      <c r="P650" s="24"/>
      <c r="Q650" s="24"/>
      <c r="R650" s="24"/>
      <c r="S650" s="24"/>
      <c r="T650" s="24"/>
      <c r="U650" s="24"/>
    </row>
    <row r="651">
      <c r="A651" s="73"/>
      <c r="B651" s="73"/>
      <c r="C651" s="73"/>
      <c r="D651" s="73"/>
      <c r="E651" s="73"/>
      <c r="F651" s="87"/>
      <c r="G651" s="73"/>
      <c r="H651" s="73"/>
      <c r="I651" s="73"/>
      <c r="J651" s="73"/>
      <c r="K651" s="73"/>
      <c r="L651" s="73"/>
      <c r="M651" s="73"/>
      <c r="N651" s="24"/>
      <c r="O651" s="24"/>
      <c r="P651" s="24"/>
      <c r="Q651" s="24"/>
      <c r="R651" s="24"/>
      <c r="S651" s="24"/>
      <c r="T651" s="24"/>
      <c r="U651" s="24"/>
    </row>
    <row r="652">
      <c r="A652" s="73"/>
      <c r="B652" s="73"/>
      <c r="C652" s="73"/>
      <c r="D652" s="73"/>
      <c r="E652" s="73"/>
      <c r="F652" s="87"/>
      <c r="G652" s="73"/>
      <c r="H652" s="73"/>
      <c r="I652" s="73"/>
      <c r="J652" s="73"/>
      <c r="K652" s="73"/>
      <c r="L652" s="73"/>
      <c r="M652" s="73"/>
      <c r="N652" s="24"/>
      <c r="O652" s="24"/>
      <c r="P652" s="24"/>
      <c r="Q652" s="24"/>
      <c r="R652" s="24"/>
      <c r="S652" s="24"/>
      <c r="T652" s="24"/>
      <c r="U652" s="24"/>
    </row>
    <row r="653">
      <c r="A653" s="73"/>
      <c r="B653" s="73"/>
      <c r="C653" s="73"/>
      <c r="D653" s="73"/>
      <c r="E653" s="73"/>
      <c r="F653" s="87"/>
      <c r="G653" s="73"/>
      <c r="H653" s="73"/>
      <c r="I653" s="73"/>
      <c r="J653" s="73"/>
      <c r="K653" s="73"/>
      <c r="L653" s="73"/>
      <c r="M653" s="73"/>
      <c r="N653" s="24"/>
      <c r="O653" s="24"/>
      <c r="P653" s="24"/>
      <c r="Q653" s="24"/>
      <c r="R653" s="24"/>
      <c r="S653" s="24"/>
      <c r="T653" s="24"/>
      <c r="U653" s="24"/>
    </row>
    <row r="654">
      <c r="A654" s="73"/>
      <c r="B654" s="73"/>
      <c r="C654" s="73"/>
      <c r="D654" s="73"/>
      <c r="E654" s="73"/>
      <c r="F654" s="87"/>
      <c r="G654" s="73"/>
      <c r="H654" s="73"/>
      <c r="I654" s="73"/>
      <c r="J654" s="73"/>
      <c r="K654" s="73"/>
      <c r="L654" s="73"/>
      <c r="M654" s="73"/>
      <c r="N654" s="24"/>
      <c r="O654" s="24"/>
      <c r="P654" s="24"/>
      <c r="Q654" s="24"/>
      <c r="R654" s="24"/>
      <c r="S654" s="24"/>
      <c r="T654" s="24"/>
      <c r="U654" s="24"/>
    </row>
    <row r="655">
      <c r="A655" s="73"/>
      <c r="B655" s="73"/>
      <c r="C655" s="73"/>
      <c r="D655" s="73"/>
      <c r="E655" s="73"/>
      <c r="F655" s="87"/>
      <c r="G655" s="73"/>
      <c r="H655" s="73"/>
      <c r="I655" s="73"/>
      <c r="J655" s="73"/>
      <c r="K655" s="73"/>
      <c r="L655" s="73"/>
      <c r="M655" s="73"/>
      <c r="N655" s="24"/>
      <c r="O655" s="24"/>
      <c r="P655" s="24"/>
      <c r="Q655" s="24"/>
      <c r="R655" s="24"/>
      <c r="S655" s="24"/>
      <c r="T655" s="24"/>
      <c r="U655" s="24"/>
    </row>
    <row r="656">
      <c r="A656" s="73"/>
      <c r="B656" s="73"/>
      <c r="C656" s="73"/>
      <c r="D656" s="73"/>
      <c r="E656" s="73"/>
      <c r="F656" s="87"/>
      <c r="G656" s="73"/>
      <c r="H656" s="73"/>
      <c r="I656" s="73"/>
      <c r="J656" s="73"/>
      <c r="K656" s="73"/>
      <c r="L656" s="73"/>
      <c r="M656" s="73"/>
      <c r="N656" s="24"/>
      <c r="O656" s="24"/>
      <c r="P656" s="24"/>
      <c r="Q656" s="24"/>
      <c r="R656" s="24"/>
      <c r="S656" s="24"/>
      <c r="T656" s="24"/>
      <c r="U656" s="24"/>
    </row>
    <row r="657">
      <c r="A657" s="73"/>
      <c r="B657" s="73"/>
      <c r="C657" s="73"/>
      <c r="D657" s="73"/>
      <c r="E657" s="73"/>
      <c r="F657" s="87"/>
      <c r="G657" s="73"/>
      <c r="H657" s="73"/>
      <c r="I657" s="73"/>
      <c r="J657" s="73"/>
      <c r="K657" s="73"/>
      <c r="L657" s="73"/>
      <c r="M657" s="73"/>
      <c r="N657" s="24"/>
      <c r="O657" s="24"/>
      <c r="P657" s="24"/>
      <c r="Q657" s="24"/>
      <c r="R657" s="24"/>
      <c r="S657" s="24"/>
      <c r="T657" s="24"/>
      <c r="U657" s="24"/>
    </row>
    <row r="658">
      <c r="A658" s="73"/>
      <c r="B658" s="73"/>
      <c r="C658" s="73"/>
      <c r="D658" s="73"/>
      <c r="E658" s="73"/>
      <c r="F658" s="87"/>
      <c r="G658" s="73"/>
      <c r="H658" s="73"/>
      <c r="I658" s="73"/>
      <c r="J658" s="73"/>
      <c r="K658" s="73"/>
      <c r="L658" s="73"/>
      <c r="M658" s="73"/>
      <c r="N658" s="24"/>
      <c r="O658" s="24"/>
      <c r="P658" s="24"/>
      <c r="Q658" s="24"/>
      <c r="R658" s="24"/>
      <c r="S658" s="24"/>
      <c r="T658" s="24"/>
      <c r="U658" s="24"/>
    </row>
    <row r="659">
      <c r="A659" s="73"/>
      <c r="B659" s="73"/>
      <c r="C659" s="73"/>
      <c r="D659" s="73"/>
      <c r="E659" s="73"/>
      <c r="F659" s="87"/>
      <c r="G659" s="73"/>
      <c r="H659" s="73"/>
      <c r="I659" s="73"/>
      <c r="J659" s="73"/>
      <c r="K659" s="73"/>
      <c r="L659" s="73"/>
      <c r="M659" s="73"/>
      <c r="N659" s="24"/>
      <c r="O659" s="24"/>
      <c r="P659" s="24"/>
      <c r="Q659" s="24"/>
      <c r="R659" s="24"/>
      <c r="S659" s="24"/>
      <c r="T659" s="24"/>
      <c r="U659" s="24"/>
    </row>
    <row r="660">
      <c r="A660" s="73"/>
      <c r="B660" s="73"/>
      <c r="C660" s="73"/>
      <c r="D660" s="73"/>
      <c r="E660" s="73"/>
      <c r="F660" s="87"/>
      <c r="G660" s="73"/>
      <c r="H660" s="73"/>
      <c r="I660" s="73"/>
      <c r="J660" s="73"/>
      <c r="K660" s="73"/>
      <c r="L660" s="73"/>
      <c r="M660" s="73"/>
      <c r="N660" s="24"/>
      <c r="O660" s="24"/>
      <c r="P660" s="24"/>
      <c r="Q660" s="24"/>
      <c r="R660" s="24"/>
      <c r="S660" s="24"/>
      <c r="T660" s="24"/>
      <c r="U660" s="24"/>
    </row>
    <row r="661">
      <c r="A661" s="73"/>
      <c r="B661" s="73"/>
      <c r="C661" s="73"/>
      <c r="D661" s="73"/>
      <c r="E661" s="73"/>
      <c r="F661" s="87"/>
      <c r="G661" s="73"/>
      <c r="H661" s="73"/>
      <c r="I661" s="73"/>
      <c r="J661" s="73"/>
      <c r="K661" s="73"/>
      <c r="L661" s="73"/>
      <c r="M661" s="73"/>
      <c r="N661" s="24"/>
      <c r="O661" s="24"/>
      <c r="P661" s="24"/>
      <c r="Q661" s="24"/>
      <c r="R661" s="24"/>
      <c r="S661" s="24"/>
      <c r="T661" s="24"/>
      <c r="U661" s="24"/>
    </row>
    <row r="662">
      <c r="A662" s="73"/>
      <c r="B662" s="73"/>
      <c r="C662" s="73"/>
      <c r="D662" s="73"/>
      <c r="E662" s="73"/>
      <c r="F662" s="87"/>
      <c r="G662" s="73"/>
      <c r="H662" s="73"/>
      <c r="I662" s="73"/>
      <c r="J662" s="73"/>
      <c r="K662" s="73"/>
      <c r="L662" s="73"/>
      <c r="M662" s="73"/>
      <c r="N662" s="24"/>
      <c r="O662" s="24"/>
      <c r="P662" s="24"/>
      <c r="Q662" s="24"/>
      <c r="R662" s="24"/>
      <c r="S662" s="24"/>
      <c r="T662" s="24"/>
      <c r="U662" s="24"/>
    </row>
    <row r="663">
      <c r="A663" s="73"/>
      <c r="B663" s="73"/>
      <c r="C663" s="73"/>
      <c r="D663" s="73"/>
      <c r="E663" s="73"/>
      <c r="F663" s="87"/>
      <c r="G663" s="73"/>
      <c r="H663" s="73"/>
      <c r="I663" s="73"/>
      <c r="J663" s="73"/>
      <c r="K663" s="73"/>
      <c r="L663" s="73"/>
      <c r="M663" s="73"/>
      <c r="N663" s="24"/>
      <c r="O663" s="24"/>
      <c r="P663" s="24"/>
      <c r="Q663" s="24"/>
      <c r="R663" s="24"/>
      <c r="S663" s="24"/>
      <c r="T663" s="24"/>
      <c r="U663" s="24"/>
    </row>
    <row r="664">
      <c r="A664" s="73"/>
      <c r="B664" s="73"/>
      <c r="C664" s="73"/>
      <c r="D664" s="73"/>
      <c r="E664" s="73"/>
      <c r="F664" s="87"/>
      <c r="G664" s="73"/>
      <c r="H664" s="73"/>
      <c r="I664" s="73"/>
      <c r="J664" s="73"/>
      <c r="K664" s="73"/>
      <c r="L664" s="73"/>
      <c r="M664" s="73"/>
      <c r="N664" s="24"/>
      <c r="O664" s="24"/>
      <c r="P664" s="24"/>
      <c r="Q664" s="24"/>
      <c r="R664" s="24"/>
      <c r="S664" s="24"/>
      <c r="T664" s="24"/>
      <c r="U664" s="24"/>
    </row>
    <row r="665">
      <c r="A665" s="73"/>
      <c r="B665" s="73"/>
      <c r="C665" s="73"/>
      <c r="D665" s="73"/>
      <c r="E665" s="73"/>
      <c r="F665" s="87"/>
      <c r="G665" s="73"/>
      <c r="H665" s="73"/>
      <c r="I665" s="73"/>
      <c r="J665" s="73"/>
      <c r="K665" s="73"/>
      <c r="L665" s="73"/>
      <c r="M665" s="73"/>
      <c r="N665" s="24"/>
      <c r="O665" s="24"/>
      <c r="P665" s="24"/>
      <c r="Q665" s="24"/>
      <c r="R665" s="24"/>
      <c r="S665" s="24"/>
      <c r="T665" s="24"/>
      <c r="U665" s="24"/>
    </row>
    <row r="666">
      <c r="A666" s="73"/>
      <c r="B666" s="73"/>
      <c r="C666" s="73"/>
      <c r="D666" s="73"/>
      <c r="E666" s="73"/>
      <c r="F666" s="87"/>
      <c r="G666" s="73"/>
      <c r="H666" s="73"/>
      <c r="I666" s="73"/>
      <c r="J666" s="73"/>
      <c r="K666" s="73"/>
      <c r="L666" s="73"/>
      <c r="M666" s="73"/>
      <c r="N666" s="24"/>
      <c r="O666" s="24"/>
      <c r="P666" s="24"/>
      <c r="Q666" s="24"/>
      <c r="R666" s="24"/>
      <c r="S666" s="24"/>
      <c r="T666" s="24"/>
      <c r="U666" s="24"/>
    </row>
    <row r="667">
      <c r="A667" s="73"/>
      <c r="B667" s="73"/>
      <c r="C667" s="73"/>
      <c r="D667" s="73"/>
      <c r="E667" s="73"/>
      <c r="F667" s="87"/>
      <c r="G667" s="73"/>
      <c r="H667" s="73"/>
      <c r="I667" s="73"/>
      <c r="J667" s="73"/>
      <c r="K667" s="73"/>
      <c r="L667" s="73"/>
      <c r="M667" s="73"/>
      <c r="N667" s="24"/>
      <c r="O667" s="24"/>
      <c r="P667" s="24"/>
      <c r="Q667" s="24"/>
      <c r="R667" s="24"/>
      <c r="S667" s="24"/>
      <c r="T667" s="24"/>
      <c r="U667" s="24"/>
    </row>
    <row r="668">
      <c r="A668" s="73"/>
      <c r="B668" s="73"/>
      <c r="C668" s="73"/>
      <c r="D668" s="73"/>
      <c r="E668" s="73"/>
      <c r="F668" s="87"/>
      <c r="G668" s="73"/>
      <c r="H668" s="73"/>
      <c r="I668" s="73"/>
      <c r="J668" s="73"/>
      <c r="K668" s="73"/>
      <c r="L668" s="73"/>
      <c r="M668" s="73"/>
      <c r="N668" s="24"/>
      <c r="O668" s="24"/>
      <c r="P668" s="24"/>
      <c r="Q668" s="24"/>
      <c r="R668" s="24"/>
      <c r="S668" s="24"/>
      <c r="T668" s="24"/>
      <c r="U668" s="24"/>
    </row>
    <row r="669">
      <c r="A669" s="73"/>
      <c r="B669" s="73"/>
      <c r="C669" s="73"/>
      <c r="D669" s="73"/>
      <c r="E669" s="73"/>
      <c r="F669" s="87"/>
      <c r="G669" s="73"/>
      <c r="H669" s="73"/>
      <c r="I669" s="73"/>
      <c r="J669" s="73"/>
      <c r="K669" s="73"/>
      <c r="L669" s="73"/>
      <c r="M669" s="73"/>
      <c r="N669" s="24"/>
      <c r="O669" s="24"/>
      <c r="P669" s="24"/>
      <c r="Q669" s="24"/>
      <c r="R669" s="24"/>
      <c r="S669" s="24"/>
      <c r="T669" s="24"/>
      <c r="U669" s="24"/>
    </row>
    <row r="670">
      <c r="A670" s="73"/>
      <c r="B670" s="73"/>
      <c r="C670" s="73"/>
      <c r="D670" s="73"/>
      <c r="E670" s="73"/>
      <c r="F670" s="87"/>
      <c r="G670" s="73"/>
      <c r="H670" s="73"/>
      <c r="I670" s="73"/>
      <c r="J670" s="73"/>
      <c r="K670" s="73"/>
      <c r="L670" s="73"/>
      <c r="M670" s="73"/>
      <c r="N670" s="24"/>
      <c r="O670" s="24"/>
      <c r="P670" s="24"/>
      <c r="Q670" s="24"/>
      <c r="R670" s="24"/>
      <c r="S670" s="24"/>
      <c r="T670" s="24"/>
      <c r="U670" s="24"/>
    </row>
    <row r="671">
      <c r="A671" s="73"/>
      <c r="B671" s="73"/>
      <c r="C671" s="73"/>
      <c r="D671" s="73"/>
      <c r="E671" s="73"/>
      <c r="F671" s="87"/>
      <c r="G671" s="73"/>
      <c r="H671" s="73"/>
      <c r="I671" s="73"/>
      <c r="J671" s="73"/>
      <c r="K671" s="73"/>
      <c r="L671" s="73"/>
      <c r="M671" s="73"/>
      <c r="N671" s="24"/>
      <c r="O671" s="24"/>
      <c r="P671" s="24"/>
      <c r="Q671" s="24"/>
      <c r="R671" s="24"/>
      <c r="S671" s="24"/>
      <c r="T671" s="24"/>
      <c r="U671" s="24"/>
    </row>
    <row r="672">
      <c r="A672" s="73"/>
      <c r="B672" s="73"/>
      <c r="C672" s="73"/>
      <c r="D672" s="73"/>
      <c r="E672" s="73"/>
      <c r="F672" s="87"/>
      <c r="G672" s="73"/>
      <c r="H672" s="73"/>
      <c r="I672" s="73"/>
      <c r="J672" s="73"/>
      <c r="K672" s="73"/>
      <c r="L672" s="73"/>
      <c r="M672" s="73"/>
      <c r="N672" s="24"/>
      <c r="O672" s="24"/>
      <c r="P672" s="24"/>
      <c r="Q672" s="24"/>
      <c r="R672" s="24"/>
      <c r="S672" s="24"/>
      <c r="T672" s="24"/>
      <c r="U672" s="24"/>
    </row>
    <row r="673">
      <c r="A673" s="73"/>
      <c r="B673" s="73"/>
      <c r="C673" s="73"/>
      <c r="D673" s="73"/>
      <c r="E673" s="73"/>
      <c r="F673" s="87"/>
      <c r="G673" s="73"/>
      <c r="H673" s="73"/>
      <c r="I673" s="73"/>
      <c r="J673" s="73"/>
      <c r="K673" s="73"/>
      <c r="L673" s="73"/>
      <c r="M673" s="73"/>
      <c r="N673" s="24"/>
      <c r="O673" s="24"/>
      <c r="P673" s="24"/>
      <c r="Q673" s="24"/>
      <c r="R673" s="24"/>
      <c r="S673" s="24"/>
      <c r="T673" s="24"/>
      <c r="U673" s="24"/>
    </row>
    <row r="674">
      <c r="A674" s="73"/>
      <c r="B674" s="73"/>
      <c r="C674" s="73"/>
      <c r="D674" s="73"/>
      <c r="E674" s="73"/>
      <c r="F674" s="87"/>
      <c r="G674" s="73"/>
      <c r="H674" s="73"/>
      <c r="I674" s="73"/>
      <c r="J674" s="73"/>
      <c r="K674" s="73"/>
      <c r="L674" s="73"/>
      <c r="M674" s="73"/>
      <c r="N674" s="24"/>
      <c r="O674" s="24"/>
      <c r="P674" s="24"/>
      <c r="Q674" s="24"/>
      <c r="R674" s="24"/>
      <c r="S674" s="24"/>
      <c r="T674" s="24"/>
      <c r="U674" s="24"/>
    </row>
    <row r="675">
      <c r="A675" s="73"/>
      <c r="B675" s="73"/>
      <c r="C675" s="73"/>
      <c r="D675" s="73"/>
      <c r="E675" s="73"/>
      <c r="F675" s="87"/>
      <c r="G675" s="73"/>
      <c r="H675" s="73"/>
      <c r="I675" s="73"/>
      <c r="J675" s="73"/>
      <c r="K675" s="73"/>
      <c r="L675" s="73"/>
      <c r="M675" s="73"/>
      <c r="N675" s="24"/>
      <c r="O675" s="24"/>
      <c r="P675" s="24"/>
      <c r="Q675" s="24"/>
      <c r="R675" s="24"/>
      <c r="S675" s="24"/>
      <c r="T675" s="24"/>
      <c r="U675" s="24"/>
    </row>
    <row r="676">
      <c r="A676" s="73"/>
      <c r="B676" s="73"/>
      <c r="C676" s="73"/>
      <c r="D676" s="73"/>
      <c r="E676" s="73"/>
      <c r="F676" s="87"/>
      <c r="G676" s="73"/>
      <c r="H676" s="73"/>
      <c r="I676" s="73"/>
      <c r="J676" s="73"/>
      <c r="K676" s="73"/>
      <c r="L676" s="73"/>
      <c r="M676" s="73"/>
      <c r="N676" s="24"/>
      <c r="O676" s="24"/>
      <c r="P676" s="24"/>
      <c r="Q676" s="24"/>
      <c r="R676" s="24"/>
      <c r="S676" s="24"/>
      <c r="T676" s="24"/>
      <c r="U676" s="24"/>
    </row>
    <row r="677">
      <c r="A677" s="73"/>
      <c r="B677" s="73"/>
      <c r="C677" s="73"/>
      <c r="D677" s="73"/>
      <c r="E677" s="73"/>
      <c r="F677" s="87"/>
      <c r="G677" s="73"/>
      <c r="H677" s="73"/>
      <c r="I677" s="73"/>
      <c r="J677" s="73"/>
      <c r="K677" s="73"/>
      <c r="L677" s="73"/>
      <c r="M677" s="73"/>
      <c r="N677" s="24"/>
      <c r="O677" s="24"/>
      <c r="P677" s="24"/>
      <c r="Q677" s="24"/>
      <c r="R677" s="24"/>
      <c r="S677" s="24"/>
      <c r="T677" s="24"/>
      <c r="U677" s="24"/>
    </row>
    <row r="678">
      <c r="A678" s="73"/>
      <c r="B678" s="73"/>
      <c r="C678" s="73"/>
      <c r="D678" s="73"/>
      <c r="E678" s="73"/>
      <c r="F678" s="87"/>
      <c r="G678" s="73"/>
      <c r="H678" s="73"/>
      <c r="I678" s="73"/>
      <c r="J678" s="73"/>
      <c r="K678" s="73"/>
      <c r="L678" s="73"/>
      <c r="M678" s="73"/>
      <c r="N678" s="24"/>
      <c r="O678" s="24"/>
      <c r="P678" s="24"/>
      <c r="Q678" s="24"/>
      <c r="R678" s="24"/>
      <c r="S678" s="24"/>
      <c r="T678" s="24"/>
      <c r="U678" s="24"/>
    </row>
    <row r="679">
      <c r="A679" s="73"/>
      <c r="B679" s="73"/>
      <c r="C679" s="73"/>
      <c r="D679" s="73"/>
      <c r="E679" s="73"/>
      <c r="F679" s="87"/>
      <c r="G679" s="73"/>
      <c r="H679" s="73"/>
      <c r="I679" s="73"/>
      <c r="J679" s="73"/>
      <c r="K679" s="73"/>
      <c r="L679" s="73"/>
      <c r="M679" s="73"/>
      <c r="N679" s="24"/>
      <c r="O679" s="24"/>
      <c r="P679" s="24"/>
      <c r="Q679" s="24"/>
      <c r="R679" s="24"/>
      <c r="S679" s="24"/>
      <c r="T679" s="24"/>
      <c r="U679" s="24"/>
    </row>
    <row r="680">
      <c r="A680" s="73"/>
      <c r="B680" s="73"/>
      <c r="C680" s="73"/>
      <c r="D680" s="73"/>
      <c r="E680" s="73"/>
      <c r="F680" s="87"/>
      <c r="G680" s="73"/>
      <c r="H680" s="73"/>
      <c r="I680" s="73"/>
      <c r="J680" s="73"/>
      <c r="K680" s="73"/>
      <c r="L680" s="73"/>
      <c r="M680" s="73"/>
      <c r="N680" s="24"/>
      <c r="O680" s="24"/>
      <c r="P680" s="24"/>
      <c r="Q680" s="24"/>
      <c r="R680" s="24"/>
      <c r="S680" s="24"/>
      <c r="T680" s="24"/>
      <c r="U680" s="24"/>
    </row>
    <row r="681">
      <c r="A681" s="73"/>
      <c r="B681" s="73"/>
      <c r="C681" s="73"/>
      <c r="D681" s="73"/>
      <c r="E681" s="73"/>
      <c r="F681" s="87"/>
      <c r="G681" s="73"/>
      <c r="H681" s="73"/>
      <c r="I681" s="73"/>
      <c r="J681" s="73"/>
      <c r="K681" s="73"/>
      <c r="L681" s="73"/>
      <c r="M681" s="73"/>
      <c r="N681" s="24"/>
      <c r="O681" s="24"/>
      <c r="P681" s="24"/>
      <c r="Q681" s="24"/>
      <c r="R681" s="24"/>
      <c r="S681" s="24"/>
      <c r="T681" s="24"/>
      <c r="U681" s="24"/>
    </row>
    <row r="682">
      <c r="A682" s="73"/>
      <c r="B682" s="73"/>
      <c r="C682" s="73"/>
      <c r="D682" s="73"/>
      <c r="E682" s="73"/>
      <c r="F682" s="87"/>
      <c r="G682" s="73"/>
      <c r="H682" s="73"/>
      <c r="I682" s="73"/>
      <c r="J682" s="73"/>
      <c r="K682" s="73"/>
      <c r="L682" s="73"/>
      <c r="M682" s="73"/>
      <c r="N682" s="24"/>
      <c r="O682" s="24"/>
      <c r="P682" s="24"/>
      <c r="Q682" s="24"/>
      <c r="R682" s="24"/>
      <c r="S682" s="24"/>
      <c r="T682" s="24"/>
      <c r="U682" s="24"/>
    </row>
    <row r="683">
      <c r="A683" s="73"/>
      <c r="B683" s="73"/>
      <c r="C683" s="73"/>
      <c r="D683" s="73"/>
      <c r="E683" s="73"/>
      <c r="F683" s="87"/>
      <c r="G683" s="73"/>
      <c r="H683" s="73"/>
      <c r="I683" s="73"/>
      <c r="J683" s="73"/>
      <c r="K683" s="73"/>
      <c r="L683" s="73"/>
      <c r="M683" s="73"/>
      <c r="N683" s="24"/>
      <c r="O683" s="24"/>
      <c r="P683" s="24"/>
      <c r="Q683" s="24"/>
      <c r="R683" s="24"/>
      <c r="S683" s="24"/>
      <c r="T683" s="24"/>
      <c r="U683" s="24"/>
    </row>
    <row r="684">
      <c r="A684" s="73"/>
      <c r="B684" s="73"/>
      <c r="C684" s="73"/>
      <c r="D684" s="73"/>
      <c r="E684" s="73"/>
      <c r="F684" s="87"/>
      <c r="G684" s="73"/>
      <c r="H684" s="73"/>
      <c r="I684" s="73"/>
      <c r="J684" s="73"/>
      <c r="K684" s="73"/>
      <c r="L684" s="73"/>
      <c r="M684" s="73"/>
      <c r="N684" s="24"/>
      <c r="O684" s="24"/>
      <c r="P684" s="24"/>
      <c r="Q684" s="24"/>
      <c r="R684" s="24"/>
      <c r="S684" s="24"/>
      <c r="T684" s="24"/>
      <c r="U684" s="24"/>
    </row>
    <row r="685">
      <c r="A685" s="73"/>
      <c r="B685" s="73"/>
      <c r="C685" s="73"/>
      <c r="D685" s="73"/>
      <c r="E685" s="73"/>
      <c r="F685" s="87"/>
      <c r="G685" s="73"/>
      <c r="H685" s="73"/>
      <c r="I685" s="73"/>
      <c r="J685" s="73"/>
      <c r="K685" s="73"/>
      <c r="L685" s="73"/>
      <c r="M685" s="73"/>
      <c r="N685" s="24"/>
      <c r="O685" s="24"/>
      <c r="P685" s="24"/>
      <c r="Q685" s="24"/>
      <c r="R685" s="24"/>
      <c r="S685" s="24"/>
      <c r="T685" s="24"/>
      <c r="U685" s="24"/>
    </row>
    <row r="686">
      <c r="A686" s="73"/>
      <c r="B686" s="73"/>
      <c r="C686" s="73"/>
      <c r="D686" s="73"/>
      <c r="E686" s="73"/>
      <c r="F686" s="87"/>
      <c r="G686" s="73"/>
      <c r="H686" s="73"/>
      <c r="I686" s="73"/>
      <c r="J686" s="73"/>
      <c r="K686" s="73"/>
      <c r="L686" s="73"/>
      <c r="M686" s="73"/>
      <c r="N686" s="24"/>
      <c r="O686" s="24"/>
      <c r="P686" s="24"/>
      <c r="Q686" s="24"/>
      <c r="R686" s="24"/>
      <c r="S686" s="24"/>
      <c r="T686" s="24"/>
      <c r="U686" s="24"/>
    </row>
    <row r="687">
      <c r="A687" s="73"/>
      <c r="B687" s="73"/>
      <c r="C687" s="73"/>
      <c r="D687" s="73"/>
      <c r="E687" s="73"/>
      <c r="F687" s="87"/>
      <c r="G687" s="73"/>
      <c r="H687" s="73"/>
      <c r="I687" s="73"/>
      <c r="J687" s="73"/>
      <c r="K687" s="73"/>
      <c r="L687" s="73"/>
      <c r="M687" s="73"/>
      <c r="N687" s="24"/>
      <c r="O687" s="24"/>
      <c r="P687" s="24"/>
      <c r="Q687" s="24"/>
      <c r="R687" s="24"/>
      <c r="S687" s="24"/>
      <c r="T687" s="24"/>
      <c r="U687" s="24"/>
    </row>
    <row r="688">
      <c r="A688" s="73"/>
      <c r="B688" s="73"/>
      <c r="C688" s="73"/>
      <c r="D688" s="73"/>
      <c r="E688" s="73"/>
      <c r="F688" s="87"/>
      <c r="G688" s="73"/>
      <c r="H688" s="73"/>
      <c r="I688" s="73"/>
      <c r="J688" s="73"/>
      <c r="K688" s="73"/>
      <c r="L688" s="73"/>
      <c r="M688" s="73"/>
      <c r="N688" s="24"/>
      <c r="O688" s="24"/>
      <c r="P688" s="24"/>
      <c r="Q688" s="24"/>
      <c r="R688" s="24"/>
      <c r="S688" s="24"/>
      <c r="T688" s="24"/>
      <c r="U688" s="24"/>
    </row>
  </sheetData>
  <autoFilter ref="$A$1:$U$305">
    <filterColumn colId="10">
      <filters blank="1">
        <filter val="28-Feb-25"/>
        <filter val="27-Feb-25"/>
        <filter val="30-Apr-25"/>
        <filter val="12-Mar-25"/>
        <filter val="18-Jul-25"/>
        <filter val="11-Dec-25"/>
        <filter val="31-Jan-25"/>
        <filter val="12-Jul-25"/>
        <filter val="10-Jul-25"/>
        <filter val="14-Jul-25"/>
        <filter val="24-May-25"/>
        <filter val="3-Jul-25"/>
        <filter val="20-May-25"/>
        <filter val="28-May-25"/>
        <filter val="15-Aug-25"/>
        <filter val="6-Mar-25"/>
        <filter val="7-Feb-25"/>
        <filter val="9-July-25"/>
        <filter val="18-Feb-25"/>
        <filter val="3-June-25"/>
        <filter val="1,Sep,25"/>
        <filter val="3-sept-25"/>
        <filter val="20-Mar-25"/>
        <filter val="08 Aug 25"/>
        <filter val="20-Feb-25"/>
        <filter val="13-Mar-25"/>
        <filter val="13-Feb-25"/>
        <filter val="23-Jan-25"/>
        <filter val="12-Dec-25"/>
        <filter val="26-Apr-25"/>
        <filter val="17-Jul-25"/>
        <filter val="15-Apr-26"/>
        <filter val="15-Apr-25"/>
        <filter val="4-Sep-25"/>
        <filter val="23-May-25"/>
        <filter val="30-May-25"/>
        <filter val="7-Jun-25"/>
        <filter val="8-Jan-25"/>
        <filter val="6-Apr-25"/>
        <filter val="5-Apr-25"/>
        <filter val="5-Jun-25"/>
        <filter val="6-Jun-25"/>
        <filter val="28-Aug-25"/>
        <filter val="29-Mar-25"/>
        <filter val="28-Mar-25"/>
        <filter val="3-Jan-25"/>
        <filter val="4-Jan-25"/>
        <filter val="21-Jan-25"/>
        <filter val="25-Mar-25"/>
        <filter val="6-Jan-25"/>
        <filter val="26-Mar-25"/>
        <filter val="22-Mar-25"/>
        <filter val="21-Apr-25"/>
        <filter val="23-Apr-25"/>
        <filter val="10-Feb-25"/>
        <filter val="22-Jan-25"/>
        <filter val="17-Jun-25"/>
        <filter val="28-Jan-25"/>
        <filter val="14-July-25"/>
        <filter val="14-Feb-25"/>
        <filter val="26-Jun-25"/>
        <filter val="19-Jun-25"/>
        <filter val="4-May-25"/>
        <filter val="11-Jun-25"/>
        <filter val="16-Apr-25"/>
        <filter val="13-Jun-25"/>
        <filter val="1-September-25"/>
        <filter val="13-May-25"/>
        <filter val="15-May-25"/>
        <filter val="8-Aug-25"/>
        <filter val="19-May-25"/>
        <filter val="1-Sep-25"/>
        <filter val="3-Apr-25"/>
        <filter val="08 sept 25"/>
        <filter val="5-Feb-25"/>
        <filter val="4-Feb-25"/>
        <filter val="26-Nov-25"/>
        <filter val="8-Jul-25"/>
        <filter val="9-Feb-25"/>
        <filter val="1-Feb-29"/>
        <filter val="4-Mar-25"/>
        <filter val="5-Mar-25"/>
        <filter val="28-Apr-25"/>
        <filter val="29-Jan-25"/>
        <filter val="28-August-25"/>
        <filter val="10-Jan-25"/>
        <filter val="11-Mar-25"/>
        <filter val="24-Apr-25"/>
        <filter val="17-Apr-25"/>
        <filter val="15-Feb-25"/>
        <filter val="13 Aug 25"/>
        <filter val="3-May-25"/>
        <filter val="14-Dec-25"/>
        <filter val="11-Jul-24"/>
        <filter val="2-Apr-25"/>
        <filter val="4-Jul-25"/>
        <filter val="3-Jun-25"/>
        <filter val="21-May-25"/>
      </filters>
    </filterColumn>
    <sortState ref="A1:U305">
      <sortCondition ref="A1:A305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0"/>
  </cols>
  <sheetData>
    <row r="1">
      <c r="A1" s="88" t="s">
        <v>89</v>
      </c>
      <c r="B1" s="88" t="s">
        <v>841</v>
      </c>
      <c r="C1" s="88" t="s">
        <v>842</v>
      </c>
      <c r="D1" s="88" t="s">
        <v>843</v>
      </c>
      <c r="E1" s="88" t="s">
        <v>843</v>
      </c>
      <c r="F1" s="88" t="s">
        <v>843</v>
      </c>
      <c r="G1" s="88" t="s">
        <v>843</v>
      </c>
      <c r="H1" s="88" t="s">
        <v>843</v>
      </c>
    </row>
    <row r="2">
      <c r="A2" s="89" t="s">
        <v>844</v>
      </c>
      <c r="B2" s="89">
        <v>7.5471514E8</v>
      </c>
      <c r="C2" s="89" t="s">
        <v>26</v>
      </c>
      <c r="D2" s="90"/>
      <c r="E2" s="90"/>
      <c r="F2" s="90"/>
      <c r="G2" s="90"/>
      <c r="H2" s="91"/>
    </row>
    <row r="3">
      <c r="A3" s="89" t="s">
        <v>845</v>
      </c>
      <c r="B3" s="90"/>
      <c r="C3" s="89" t="s">
        <v>26</v>
      </c>
      <c r="D3" s="90"/>
      <c r="E3" s="90"/>
      <c r="F3" s="90"/>
      <c r="G3" s="90"/>
      <c r="H3" s="91"/>
    </row>
    <row r="4">
      <c r="A4" s="89" t="s">
        <v>456</v>
      </c>
      <c r="B4" s="89">
        <v>7.767148822E9</v>
      </c>
      <c r="C4" s="89" t="s">
        <v>26</v>
      </c>
      <c r="D4" s="90"/>
      <c r="E4" s="90"/>
      <c r="F4" s="90"/>
      <c r="G4" s="90"/>
      <c r="H4" s="91"/>
    </row>
    <row r="5">
      <c r="A5" s="89" t="s">
        <v>846</v>
      </c>
      <c r="B5" s="89">
        <v>7.48805116E8</v>
      </c>
      <c r="C5" s="89" t="s">
        <v>26</v>
      </c>
      <c r="D5" s="90"/>
      <c r="E5" s="90"/>
      <c r="F5" s="90"/>
      <c r="G5" s="90"/>
      <c r="H5" s="91"/>
    </row>
    <row r="6">
      <c r="A6" s="89" t="s">
        <v>847</v>
      </c>
      <c r="B6" s="89">
        <v>7.0547234E8</v>
      </c>
      <c r="C6" s="89" t="s">
        <v>26</v>
      </c>
      <c r="D6" s="90"/>
      <c r="E6" s="90"/>
      <c r="F6" s="90"/>
      <c r="G6" s="90"/>
      <c r="H6" s="91"/>
    </row>
    <row r="7">
      <c r="A7" s="89" t="s">
        <v>400</v>
      </c>
      <c r="B7" s="89">
        <v>7.00806134E8</v>
      </c>
      <c r="C7" s="89" t="s">
        <v>26</v>
      </c>
      <c r="D7" s="90"/>
      <c r="E7" s="90"/>
      <c r="F7" s="90"/>
      <c r="G7" s="90"/>
      <c r="H7" s="91"/>
    </row>
    <row r="8">
      <c r="A8" s="89" t="s">
        <v>584</v>
      </c>
      <c r="B8" s="89" t="s">
        <v>848</v>
      </c>
      <c r="C8" s="89" t="s">
        <v>26</v>
      </c>
      <c r="D8" s="90"/>
      <c r="E8" s="90"/>
      <c r="F8" s="90"/>
      <c r="G8" s="90"/>
      <c r="H8" s="91"/>
    </row>
    <row r="9">
      <c r="A9" s="89" t="s">
        <v>262</v>
      </c>
      <c r="B9" s="89">
        <v>7.53475536E8</v>
      </c>
      <c r="C9" s="89" t="s">
        <v>26</v>
      </c>
      <c r="D9" s="90"/>
      <c r="E9" s="90"/>
      <c r="F9" s="90"/>
      <c r="G9" s="90"/>
      <c r="H9" s="91"/>
    </row>
    <row r="10">
      <c r="A10" s="89" t="s">
        <v>849</v>
      </c>
      <c r="B10" s="90"/>
      <c r="C10" s="89" t="s">
        <v>26</v>
      </c>
      <c r="D10" s="90"/>
      <c r="E10" s="90"/>
      <c r="F10" s="90"/>
      <c r="G10" s="90"/>
      <c r="H10" s="91"/>
    </row>
    <row r="11">
      <c r="A11" s="89" t="s">
        <v>850</v>
      </c>
      <c r="B11" s="89">
        <v>7.01355816E8</v>
      </c>
      <c r="C11" s="89" t="s">
        <v>26</v>
      </c>
      <c r="D11" s="90"/>
      <c r="E11" s="90"/>
      <c r="F11" s="90"/>
      <c r="G11" s="90"/>
      <c r="H11" s="91"/>
    </row>
    <row r="12">
      <c r="A12" s="89" t="s">
        <v>851</v>
      </c>
      <c r="B12" s="89">
        <v>7.731673371E9</v>
      </c>
      <c r="C12" s="89" t="s">
        <v>26</v>
      </c>
      <c r="D12" s="90"/>
      <c r="E12" s="90"/>
      <c r="F12" s="90"/>
      <c r="G12" s="90"/>
      <c r="H12" s="91"/>
    </row>
    <row r="13">
      <c r="A13" s="89" t="s">
        <v>671</v>
      </c>
      <c r="B13" s="89">
        <v>7.54524425E8</v>
      </c>
      <c r="C13" s="89" t="s">
        <v>26</v>
      </c>
      <c r="D13" s="90"/>
      <c r="E13" s="90"/>
      <c r="F13" s="90"/>
      <c r="G13" s="90"/>
      <c r="H13" s="91"/>
    </row>
    <row r="14">
      <c r="A14" s="89" t="s">
        <v>387</v>
      </c>
      <c r="B14" s="89">
        <v>7.55382271E8</v>
      </c>
      <c r="C14" s="89" t="s">
        <v>26</v>
      </c>
      <c r="D14" s="90"/>
      <c r="E14" s="90"/>
      <c r="F14" s="90"/>
      <c r="G14" s="90"/>
      <c r="H14" s="91"/>
    </row>
    <row r="15">
      <c r="A15" s="89" t="s">
        <v>852</v>
      </c>
      <c r="B15" s="89">
        <v>7.50814143E8</v>
      </c>
      <c r="C15" s="89" t="s">
        <v>26</v>
      </c>
      <c r="D15" s="90"/>
      <c r="E15" s="90"/>
      <c r="F15" s="90"/>
      <c r="G15" s="90"/>
      <c r="H15" s="91"/>
    </row>
    <row r="16">
      <c r="A16" s="89" t="s">
        <v>106</v>
      </c>
      <c r="B16" s="89">
        <v>7.47419808E8</v>
      </c>
      <c r="C16" s="89" t="s">
        <v>26</v>
      </c>
      <c r="D16" s="90"/>
      <c r="E16" s="90"/>
      <c r="F16" s="90"/>
      <c r="G16" s="90"/>
      <c r="H16" s="91"/>
    </row>
    <row r="17">
      <c r="A17" s="89" t="s">
        <v>853</v>
      </c>
      <c r="B17" s="89">
        <v>7.90436295E8</v>
      </c>
      <c r="C17" s="89" t="s">
        <v>26</v>
      </c>
      <c r="D17" s="90"/>
      <c r="E17" s="90"/>
      <c r="F17" s="90"/>
      <c r="G17" s="90"/>
      <c r="H17" s="91"/>
    </row>
    <row r="18">
      <c r="A18" s="89" t="s">
        <v>854</v>
      </c>
      <c r="B18" s="89">
        <v>7.81269387E8</v>
      </c>
      <c r="C18" s="89" t="s">
        <v>26</v>
      </c>
      <c r="D18" s="90"/>
      <c r="E18" s="90"/>
      <c r="F18" s="90"/>
      <c r="G18" s="90"/>
      <c r="H18" s="91"/>
    </row>
    <row r="19">
      <c r="A19" s="89" t="s">
        <v>220</v>
      </c>
      <c r="B19" s="89">
        <v>7.50440078E8</v>
      </c>
      <c r="C19" s="89" t="s">
        <v>26</v>
      </c>
      <c r="D19" s="90"/>
      <c r="E19" s="90"/>
      <c r="F19" s="90"/>
      <c r="G19" s="90"/>
      <c r="H19" s="91"/>
    </row>
    <row r="20">
      <c r="A20" s="89" t="s">
        <v>296</v>
      </c>
      <c r="B20" s="89">
        <v>7.05929889E8</v>
      </c>
      <c r="C20" s="89" t="s">
        <v>26</v>
      </c>
      <c r="D20" s="90"/>
      <c r="E20" s="90"/>
      <c r="F20" s="90"/>
      <c r="G20" s="90"/>
      <c r="H20" s="91"/>
    </row>
    <row r="21">
      <c r="A21" s="89" t="s">
        <v>855</v>
      </c>
      <c r="B21" s="89">
        <v>7.07412371E8</v>
      </c>
      <c r="C21" s="89" t="s">
        <v>26</v>
      </c>
      <c r="D21" s="90"/>
      <c r="E21" s="90"/>
      <c r="F21" s="90"/>
      <c r="G21" s="90"/>
      <c r="H21" s="91"/>
    </row>
    <row r="22">
      <c r="A22" s="89" t="s">
        <v>141</v>
      </c>
      <c r="B22" s="89">
        <v>7.51433725E8</v>
      </c>
      <c r="C22" s="89" t="s">
        <v>26</v>
      </c>
      <c r="D22" s="90"/>
      <c r="E22" s="90"/>
      <c r="F22" s="90"/>
      <c r="G22" s="90"/>
      <c r="H22" s="91"/>
    </row>
    <row r="23">
      <c r="A23" s="89" t="s">
        <v>440</v>
      </c>
      <c r="B23" s="89">
        <v>7.44032727E8</v>
      </c>
      <c r="C23" s="89" t="s">
        <v>26</v>
      </c>
      <c r="D23" s="90"/>
      <c r="E23" s="90"/>
      <c r="F23" s="90"/>
      <c r="G23" s="90"/>
      <c r="H23" s="91"/>
    </row>
    <row r="24">
      <c r="A24" s="89" t="s">
        <v>856</v>
      </c>
      <c r="B24" s="89">
        <v>7.03090804E8</v>
      </c>
      <c r="C24" s="89" t="s">
        <v>26</v>
      </c>
      <c r="D24" s="90"/>
      <c r="E24" s="90"/>
      <c r="F24" s="90"/>
      <c r="G24" s="90"/>
      <c r="H24" s="91"/>
    </row>
    <row r="25">
      <c r="A25" s="92" t="s">
        <v>857</v>
      </c>
      <c r="B25" s="92">
        <v>7.08901461E8</v>
      </c>
      <c r="C25" s="92" t="s">
        <v>858</v>
      </c>
      <c r="D25" s="91"/>
      <c r="E25" s="91"/>
      <c r="F25" s="91"/>
      <c r="G25" s="91"/>
      <c r="H25" s="91"/>
    </row>
    <row r="26">
      <c r="A26" s="92" t="s">
        <v>623</v>
      </c>
      <c r="B26" s="92">
        <v>7.50333725E8</v>
      </c>
      <c r="C26" s="92" t="s">
        <v>693</v>
      </c>
      <c r="D26" s="91"/>
      <c r="E26" s="91"/>
      <c r="F26" s="91"/>
      <c r="G26" s="91"/>
      <c r="H26" s="91"/>
    </row>
    <row r="27">
      <c r="A27" s="92" t="s">
        <v>859</v>
      </c>
      <c r="B27" s="92">
        <v>7.70585965E8</v>
      </c>
      <c r="C27" s="92" t="s">
        <v>860</v>
      </c>
      <c r="D27" s="91"/>
      <c r="E27" s="91"/>
      <c r="F27" s="91"/>
      <c r="G27" s="91"/>
      <c r="H27" s="91"/>
    </row>
    <row r="28">
      <c r="A28" s="92" t="s">
        <v>567</v>
      </c>
      <c r="B28" s="92">
        <v>7.85129426E8</v>
      </c>
      <c r="C28" s="92" t="s">
        <v>861</v>
      </c>
      <c r="D28" s="91"/>
      <c r="E28" s="91"/>
      <c r="F28" s="91"/>
      <c r="G28" s="91"/>
      <c r="H28" s="91"/>
    </row>
    <row r="29">
      <c r="A29" s="92" t="s">
        <v>862</v>
      </c>
      <c r="B29" s="92">
        <v>7.09728452E8</v>
      </c>
      <c r="C29" s="92" t="s">
        <v>693</v>
      </c>
      <c r="D29" s="91"/>
      <c r="E29" s="91"/>
      <c r="F29" s="91"/>
      <c r="G29" s="91"/>
      <c r="H29" s="91"/>
    </row>
    <row r="30">
      <c r="A30" s="92" t="s">
        <v>579</v>
      </c>
      <c r="B30" s="92">
        <v>7.08385458E8</v>
      </c>
      <c r="C30" s="92" t="s">
        <v>713</v>
      </c>
      <c r="D30" s="91"/>
      <c r="E30" s="91"/>
      <c r="F30" s="91"/>
      <c r="G30" s="91"/>
      <c r="H30" s="91"/>
    </row>
    <row r="31">
      <c r="A31" s="93" t="s">
        <v>863</v>
      </c>
      <c r="B31" s="93">
        <v>7.56640734E8</v>
      </c>
      <c r="C31" s="93" t="s">
        <v>693</v>
      </c>
      <c r="D31" s="94"/>
      <c r="E31" s="94"/>
      <c r="F31" s="94"/>
      <c r="G31" s="94"/>
      <c r="H31" s="94"/>
    </row>
    <row r="32">
      <c r="A32" s="94"/>
      <c r="B32" s="94"/>
      <c r="C32" s="94"/>
      <c r="D32" s="94"/>
      <c r="E32" s="94"/>
      <c r="F32" s="94"/>
      <c r="G32" s="94"/>
      <c r="H32" s="94"/>
    </row>
    <row r="33">
      <c r="A33" s="94"/>
      <c r="B33" s="94"/>
      <c r="C33" s="94"/>
      <c r="D33" s="94"/>
      <c r="E33" s="94"/>
      <c r="F33" s="94"/>
      <c r="G33" s="94"/>
      <c r="H33" s="94"/>
    </row>
    <row r="34">
      <c r="A34" s="94"/>
      <c r="B34" s="94"/>
      <c r="C34" s="94"/>
      <c r="D34" s="94"/>
      <c r="E34" s="94"/>
      <c r="F34" s="94"/>
      <c r="G34" s="94"/>
      <c r="H34" s="94"/>
    </row>
    <row r="35">
      <c r="A35" s="94"/>
      <c r="B35" s="94"/>
      <c r="C35" s="94"/>
      <c r="D35" s="94"/>
      <c r="E35" s="94"/>
      <c r="F35" s="94"/>
      <c r="G35" s="94"/>
      <c r="H35" s="94"/>
    </row>
    <row r="36">
      <c r="A36" s="94"/>
      <c r="B36" s="94"/>
      <c r="C36" s="94"/>
      <c r="D36" s="94"/>
      <c r="E36" s="94"/>
      <c r="F36" s="94"/>
      <c r="G36" s="94"/>
      <c r="H36" s="94"/>
    </row>
    <row r="37">
      <c r="A37" s="94"/>
      <c r="B37" s="94"/>
      <c r="C37" s="94"/>
      <c r="D37" s="94"/>
      <c r="E37" s="94"/>
      <c r="F37" s="94"/>
      <c r="G37" s="94"/>
      <c r="H37" s="94"/>
    </row>
    <row r="38">
      <c r="A38" s="94"/>
      <c r="B38" s="94"/>
      <c r="C38" s="94"/>
      <c r="D38" s="94"/>
      <c r="E38" s="94"/>
      <c r="F38" s="94"/>
      <c r="G38" s="94"/>
      <c r="H38" s="94"/>
    </row>
    <row r="39">
      <c r="A39" s="94"/>
      <c r="B39" s="94"/>
      <c r="C39" s="94"/>
      <c r="D39" s="94"/>
      <c r="E39" s="94"/>
      <c r="F39" s="94"/>
      <c r="G39" s="94"/>
      <c r="H39" s="94"/>
    </row>
    <row r="40">
      <c r="A40" s="94"/>
      <c r="B40" s="94"/>
      <c r="C40" s="94"/>
      <c r="D40" s="94"/>
      <c r="E40" s="94"/>
      <c r="F40" s="94"/>
      <c r="G40" s="94"/>
      <c r="H40" s="94"/>
    </row>
    <row r="41">
      <c r="A41" s="94"/>
      <c r="B41" s="94"/>
      <c r="C41" s="94"/>
      <c r="D41" s="94"/>
      <c r="E41" s="94"/>
      <c r="F41" s="94"/>
      <c r="G41" s="94"/>
      <c r="H41" s="94"/>
    </row>
    <row r="42">
      <c r="A42" s="94"/>
      <c r="B42" s="94"/>
      <c r="C42" s="94"/>
      <c r="D42" s="94"/>
      <c r="E42" s="94"/>
      <c r="F42" s="94"/>
      <c r="G42" s="94"/>
      <c r="H42" s="94"/>
    </row>
    <row r="43">
      <c r="A43" s="94"/>
      <c r="B43" s="94"/>
      <c r="C43" s="94"/>
      <c r="D43" s="94"/>
      <c r="E43" s="94"/>
      <c r="F43" s="94"/>
      <c r="G43" s="94"/>
      <c r="H43" s="94"/>
    </row>
    <row r="44">
      <c r="A44" s="94"/>
      <c r="B44" s="94"/>
      <c r="C44" s="94"/>
      <c r="D44" s="94"/>
      <c r="E44" s="94"/>
      <c r="F44" s="94"/>
      <c r="G44" s="94"/>
      <c r="H44" s="94"/>
    </row>
    <row r="45">
      <c r="A45" s="94"/>
      <c r="B45" s="94"/>
      <c r="C45" s="94"/>
      <c r="D45" s="94"/>
      <c r="E45" s="94"/>
      <c r="F45" s="94"/>
      <c r="G45" s="94"/>
      <c r="H45" s="94"/>
    </row>
    <row r="46">
      <c r="A46" s="94"/>
      <c r="B46" s="94"/>
      <c r="C46" s="94"/>
      <c r="D46" s="94"/>
      <c r="E46" s="94"/>
      <c r="F46" s="94"/>
      <c r="G46" s="94"/>
      <c r="H46" s="94"/>
    </row>
    <row r="47">
      <c r="A47" s="94"/>
      <c r="B47" s="94"/>
      <c r="C47" s="94"/>
      <c r="D47" s="94"/>
      <c r="E47" s="94"/>
      <c r="F47" s="94"/>
      <c r="G47" s="94"/>
      <c r="H47" s="94"/>
    </row>
    <row r="48">
      <c r="A48" s="94"/>
      <c r="B48" s="94"/>
      <c r="C48" s="94"/>
      <c r="D48" s="94"/>
      <c r="E48" s="94"/>
      <c r="F48" s="94"/>
      <c r="G48" s="94"/>
      <c r="H48" s="94"/>
    </row>
    <row r="49">
      <c r="A49" s="94"/>
      <c r="B49" s="94"/>
      <c r="C49" s="94"/>
      <c r="D49" s="94"/>
      <c r="E49" s="94"/>
      <c r="F49" s="94"/>
      <c r="G49" s="94"/>
      <c r="H49" s="94"/>
    </row>
    <row r="50">
      <c r="A50" s="94"/>
      <c r="B50" s="94"/>
      <c r="C50" s="94"/>
      <c r="D50" s="94"/>
      <c r="E50" s="94"/>
      <c r="F50" s="94"/>
      <c r="G50" s="94"/>
      <c r="H50" s="94"/>
    </row>
    <row r="51">
      <c r="A51" s="94"/>
      <c r="B51" s="94"/>
      <c r="C51" s="94"/>
      <c r="D51" s="94"/>
      <c r="E51" s="94"/>
      <c r="F51" s="94"/>
      <c r="G51" s="94"/>
      <c r="H51" s="94"/>
    </row>
    <row r="52">
      <c r="A52" s="94"/>
      <c r="B52" s="94"/>
      <c r="C52" s="94"/>
      <c r="D52" s="94"/>
      <c r="E52" s="94"/>
      <c r="F52" s="94"/>
      <c r="G52" s="94"/>
      <c r="H52" s="94"/>
    </row>
    <row r="53">
      <c r="A53" s="94"/>
      <c r="B53" s="94"/>
      <c r="C53" s="94"/>
      <c r="D53" s="94"/>
      <c r="E53" s="94"/>
      <c r="F53" s="94"/>
      <c r="G53" s="94"/>
      <c r="H53" s="94"/>
    </row>
    <row r="54">
      <c r="A54" s="94"/>
      <c r="B54" s="94"/>
      <c r="C54" s="94"/>
      <c r="D54" s="94"/>
      <c r="E54" s="94"/>
      <c r="F54" s="94"/>
      <c r="G54" s="94"/>
      <c r="H54" s="94"/>
    </row>
    <row r="55">
      <c r="A55" s="94"/>
      <c r="B55" s="94"/>
      <c r="C55" s="94"/>
      <c r="D55" s="94"/>
      <c r="E55" s="94"/>
      <c r="F55" s="94"/>
      <c r="G55" s="94"/>
      <c r="H55" s="94"/>
    </row>
    <row r="56">
      <c r="A56" s="94"/>
      <c r="B56" s="94"/>
      <c r="C56" s="94"/>
      <c r="D56" s="94"/>
      <c r="E56" s="94"/>
      <c r="F56" s="94"/>
      <c r="G56" s="94"/>
      <c r="H56" s="94"/>
    </row>
    <row r="57">
      <c r="A57" s="94"/>
      <c r="B57" s="94"/>
      <c r="C57" s="94"/>
      <c r="D57" s="94"/>
      <c r="E57" s="94"/>
      <c r="F57" s="94"/>
      <c r="G57" s="94"/>
      <c r="H57" s="94"/>
    </row>
    <row r="58">
      <c r="A58" s="94"/>
      <c r="B58" s="94"/>
      <c r="C58" s="94"/>
      <c r="D58" s="94"/>
      <c r="E58" s="94"/>
      <c r="F58" s="94"/>
      <c r="G58" s="94"/>
      <c r="H58" s="94"/>
    </row>
    <row r="59">
      <c r="A59" s="94"/>
      <c r="B59" s="94"/>
      <c r="C59" s="94"/>
      <c r="D59" s="94"/>
      <c r="E59" s="94"/>
      <c r="F59" s="94"/>
      <c r="G59" s="94"/>
      <c r="H59" s="94"/>
    </row>
    <row r="60">
      <c r="A60" s="94"/>
      <c r="B60" s="94"/>
      <c r="C60" s="94"/>
      <c r="D60" s="94"/>
      <c r="E60" s="94"/>
      <c r="F60" s="94"/>
      <c r="G60" s="94"/>
      <c r="H60" s="94"/>
    </row>
  </sheetData>
  <printOptions gridLines="1" horizontalCentered="1"/>
  <pageMargins bottom="0.75" footer="0.0" header="0.0" left="0.7" right="0.7" top="0.75"/>
  <pageSetup fitToHeight="0" paperSize="13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16.13"/>
  </cols>
  <sheetData>
    <row r="1">
      <c r="A1" s="95" t="s">
        <v>864</v>
      </c>
      <c r="B1" s="96" t="s">
        <v>865</v>
      </c>
      <c r="C1" s="96" t="s">
        <v>866</v>
      </c>
      <c r="D1" s="97" t="s">
        <v>867</v>
      </c>
      <c r="E1" s="97" t="s">
        <v>868</v>
      </c>
      <c r="F1" s="97" t="s">
        <v>869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8">
        <v>45855.0</v>
      </c>
      <c r="B2" s="16">
        <v>550000.0</v>
      </c>
      <c r="C2" s="16">
        <v>439500.0</v>
      </c>
      <c r="D2" s="99">
        <v>36.0</v>
      </c>
      <c r="E2" s="99">
        <v>13.0</v>
      </c>
      <c r="F2" s="100">
        <f t="shared" ref="F2:F49" si="1">E2/D2*100%</f>
        <v>0.3611111111</v>
      </c>
    </row>
    <row r="3">
      <c r="A3" s="98">
        <v>45856.0</v>
      </c>
      <c r="B3" s="16">
        <v>550000.0</v>
      </c>
      <c r="C3" s="16">
        <v>334300.0</v>
      </c>
      <c r="D3" s="99">
        <v>36.0</v>
      </c>
      <c r="E3" s="99">
        <v>18.0</v>
      </c>
      <c r="F3" s="100">
        <f t="shared" si="1"/>
        <v>0.5</v>
      </c>
    </row>
    <row r="4">
      <c r="A4" s="98">
        <v>45857.0</v>
      </c>
      <c r="B4" s="16">
        <v>550000.0</v>
      </c>
      <c r="C4" s="16">
        <v>335100.0</v>
      </c>
      <c r="D4" s="99">
        <v>38.0</v>
      </c>
      <c r="E4" s="99">
        <v>20.0</v>
      </c>
      <c r="F4" s="100">
        <f t="shared" si="1"/>
        <v>0.5263157895</v>
      </c>
    </row>
    <row r="5">
      <c r="A5" s="98">
        <v>45858.0</v>
      </c>
      <c r="B5" s="16">
        <v>550000.0</v>
      </c>
      <c r="C5" s="16">
        <v>285000.0</v>
      </c>
      <c r="D5" s="99">
        <v>38.0</v>
      </c>
      <c r="E5" s="99">
        <v>12.0</v>
      </c>
      <c r="F5" s="100">
        <f t="shared" si="1"/>
        <v>0.3157894737</v>
      </c>
    </row>
    <row r="6">
      <c r="A6" s="98">
        <v>45859.0</v>
      </c>
      <c r="B6" s="16">
        <v>650000.0</v>
      </c>
      <c r="C6" s="16">
        <v>455700.0</v>
      </c>
      <c r="D6" s="99">
        <v>38.0</v>
      </c>
      <c r="E6" s="99">
        <v>22.0</v>
      </c>
      <c r="F6" s="100">
        <f t="shared" si="1"/>
        <v>0.5789473684</v>
      </c>
    </row>
    <row r="7">
      <c r="A7" s="98">
        <v>45860.0</v>
      </c>
      <c r="B7" s="16">
        <v>676300.0</v>
      </c>
      <c r="C7" s="16">
        <v>487500.0</v>
      </c>
      <c r="D7" s="99">
        <v>43.0</v>
      </c>
      <c r="E7" s="99">
        <v>26.0</v>
      </c>
      <c r="F7" s="100">
        <f t="shared" si="1"/>
        <v>0.6046511628</v>
      </c>
    </row>
    <row r="8">
      <c r="A8" s="98">
        <v>45861.0</v>
      </c>
      <c r="B8" s="16">
        <v>657000.0</v>
      </c>
      <c r="C8" s="16">
        <v>282700.0</v>
      </c>
      <c r="D8" s="99">
        <v>43.0</v>
      </c>
      <c r="E8" s="99">
        <v>18.0</v>
      </c>
      <c r="F8" s="100">
        <f t="shared" si="1"/>
        <v>0.4186046512</v>
      </c>
    </row>
    <row r="9">
      <c r="A9" s="98">
        <v>45862.0</v>
      </c>
      <c r="B9" s="16">
        <v>696000.0</v>
      </c>
      <c r="C9" s="16">
        <v>360300.0</v>
      </c>
      <c r="D9" s="99">
        <v>43.0</v>
      </c>
      <c r="E9" s="99">
        <v>24.0</v>
      </c>
      <c r="F9" s="100">
        <f t="shared" si="1"/>
        <v>0.5581395349</v>
      </c>
    </row>
    <row r="10">
      <c r="A10" s="98">
        <v>45863.0</v>
      </c>
      <c r="B10" s="16">
        <v>696300.0</v>
      </c>
      <c r="C10" s="16">
        <v>286000.0</v>
      </c>
      <c r="D10" s="99">
        <v>43.0</v>
      </c>
      <c r="E10" s="99">
        <v>11.0</v>
      </c>
      <c r="F10" s="100">
        <f t="shared" si="1"/>
        <v>0.2558139535</v>
      </c>
    </row>
    <row r="11">
      <c r="A11" s="98">
        <v>45864.0</v>
      </c>
      <c r="B11" s="16">
        <v>696300.0</v>
      </c>
      <c r="C11" s="16">
        <v>205000.0</v>
      </c>
      <c r="D11" s="99">
        <v>44.0</v>
      </c>
      <c r="E11" s="99">
        <v>17.0</v>
      </c>
      <c r="F11" s="100">
        <f t="shared" si="1"/>
        <v>0.3863636364</v>
      </c>
    </row>
    <row r="12">
      <c r="A12" s="98">
        <v>45865.0</v>
      </c>
      <c r="B12" s="16">
        <v>696300.0</v>
      </c>
      <c r="C12" s="16">
        <v>198000.0</v>
      </c>
      <c r="D12" s="99">
        <v>44.0</v>
      </c>
      <c r="E12" s="99">
        <v>13.0</v>
      </c>
      <c r="F12" s="100">
        <f t="shared" si="1"/>
        <v>0.2954545455</v>
      </c>
    </row>
    <row r="13">
      <c r="A13" s="98">
        <v>45866.0</v>
      </c>
      <c r="B13" s="16">
        <v>699300.0</v>
      </c>
      <c r="C13" s="16">
        <v>448200.0</v>
      </c>
      <c r="D13" s="99">
        <v>44.0</v>
      </c>
      <c r="E13" s="99">
        <v>21.0</v>
      </c>
      <c r="F13" s="100">
        <f t="shared" si="1"/>
        <v>0.4772727273</v>
      </c>
    </row>
    <row r="14">
      <c r="A14" s="98">
        <v>45867.0</v>
      </c>
      <c r="B14" s="16">
        <v>699300.0</v>
      </c>
      <c r="C14" s="16">
        <v>311200.0</v>
      </c>
      <c r="D14" s="99">
        <v>44.0</v>
      </c>
      <c r="E14" s="99">
        <v>18.0</v>
      </c>
      <c r="F14" s="100">
        <f t="shared" si="1"/>
        <v>0.4090909091</v>
      </c>
    </row>
    <row r="15">
      <c r="A15" s="98">
        <v>45868.0</v>
      </c>
      <c r="B15" s="16">
        <v>699300.0</v>
      </c>
      <c r="C15" s="16">
        <v>443000.0</v>
      </c>
      <c r="D15" s="99">
        <v>44.0</v>
      </c>
      <c r="E15" s="99">
        <v>34.0</v>
      </c>
      <c r="F15" s="100">
        <f t="shared" si="1"/>
        <v>0.7727272727</v>
      </c>
    </row>
    <row r="16">
      <c r="A16" s="98">
        <v>45869.0</v>
      </c>
      <c r="B16" s="16">
        <v>699300.0</v>
      </c>
      <c r="C16" s="16">
        <v>210000.0</v>
      </c>
      <c r="D16" s="99">
        <v>44.0</v>
      </c>
      <c r="E16" s="99">
        <v>14.0</v>
      </c>
      <c r="F16" s="100">
        <f t="shared" si="1"/>
        <v>0.3181818182</v>
      </c>
    </row>
    <row r="17">
      <c r="A17" s="98">
        <v>45870.0</v>
      </c>
      <c r="B17" s="16">
        <v>698200.0</v>
      </c>
      <c r="C17" s="16">
        <v>98000.0</v>
      </c>
      <c r="D17" s="99">
        <v>45.0</v>
      </c>
      <c r="E17" s="99">
        <v>8.0</v>
      </c>
      <c r="F17" s="100">
        <f t="shared" si="1"/>
        <v>0.1777777778</v>
      </c>
    </row>
    <row r="18">
      <c r="A18" s="98">
        <v>45871.0</v>
      </c>
      <c r="B18" s="16">
        <v>698000.0</v>
      </c>
      <c r="C18" s="16">
        <v>137000.0</v>
      </c>
      <c r="D18" s="99">
        <v>41.0</v>
      </c>
      <c r="E18" s="99">
        <v>12.0</v>
      </c>
      <c r="F18" s="100">
        <f t="shared" si="1"/>
        <v>0.2926829268</v>
      </c>
    </row>
    <row r="19">
      <c r="A19" s="98">
        <v>45872.0</v>
      </c>
      <c r="B19" s="16">
        <v>698000.0</v>
      </c>
      <c r="C19" s="16">
        <v>104700.0</v>
      </c>
      <c r="D19" s="99">
        <v>43.0</v>
      </c>
      <c r="E19" s="99">
        <v>11.0</v>
      </c>
      <c r="F19" s="100">
        <f t="shared" si="1"/>
        <v>0.2558139535</v>
      </c>
    </row>
    <row r="20">
      <c r="A20" s="98">
        <v>45873.0</v>
      </c>
      <c r="B20" s="16">
        <v>576500.0</v>
      </c>
      <c r="C20" s="16">
        <v>524200.0</v>
      </c>
      <c r="D20" s="99">
        <v>32.0</v>
      </c>
      <c r="E20" s="99">
        <v>16.0</v>
      </c>
      <c r="F20" s="100">
        <f t="shared" si="1"/>
        <v>0.5</v>
      </c>
    </row>
    <row r="21">
      <c r="A21" s="98">
        <v>45874.0</v>
      </c>
      <c r="B21" s="16">
        <v>576800.0</v>
      </c>
      <c r="C21" s="16">
        <v>320000.0</v>
      </c>
      <c r="D21" s="99">
        <v>36.0</v>
      </c>
      <c r="E21" s="99">
        <v>22.0</v>
      </c>
      <c r="F21" s="100">
        <f t="shared" si="1"/>
        <v>0.6111111111</v>
      </c>
    </row>
    <row r="22">
      <c r="A22" s="98">
        <v>45875.0</v>
      </c>
      <c r="B22" s="16">
        <v>639485.0</v>
      </c>
      <c r="C22" s="16">
        <v>438000.0</v>
      </c>
      <c r="D22" s="99">
        <v>35.0</v>
      </c>
      <c r="E22" s="99">
        <v>30.0</v>
      </c>
      <c r="F22" s="100">
        <f t="shared" si="1"/>
        <v>0.8571428571</v>
      </c>
    </row>
    <row r="23">
      <c r="A23" s="98">
        <v>45876.0</v>
      </c>
      <c r="B23" s="16">
        <v>639485.0</v>
      </c>
      <c r="C23" s="16">
        <v>194000.0</v>
      </c>
      <c r="D23" s="99">
        <v>35.0</v>
      </c>
      <c r="E23" s="99">
        <v>12.0</v>
      </c>
      <c r="F23" s="100">
        <f t="shared" si="1"/>
        <v>0.3428571429</v>
      </c>
    </row>
    <row r="24">
      <c r="A24" s="98">
        <v>45877.0</v>
      </c>
      <c r="B24" s="16">
        <v>639485.0</v>
      </c>
      <c r="C24" s="16">
        <v>167000.0</v>
      </c>
      <c r="D24" s="99">
        <v>36.0</v>
      </c>
      <c r="E24" s="99">
        <v>11.0</v>
      </c>
      <c r="F24" s="100">
        <f t="shared" si="1"/>
        <v>0.3055555556</v>
      </c>
    </row>
    <row r="25">
      <c r="A25" s="98">
        <v>45878.0</v>
      </c>
      <c r="B25" s="16">
        <v>639485.0</v>
      </c>
      <c r="C25" s="16">
        <v>26000.0</v>
      </c>
      <c r="D25" s="99">
        <v>36.0</v>
      </c>
      <c r="E25" s="99">
        <v>2.0</v>
      </c>
      <c r="F25" s="100">
        <f t="shared" si="1"/>
        <v>0.05555555556</v>
      </c>
    </row>
    <row r="26">
      <c r="A26" s="98">
        <v>45879.0</v>
      </c>
      <c r="B26" s="16">
        <v>639485.0</v>
      </c>
      <c r="C26" s="16">
        <v>443000.0</v>
      </c>
      <c r="D26" s="99">
        <v>36.0</v>
      </c>
      <c r="E26" s="99">
        <v>21.0</v>
      </c>
      <c r="F26" s="100">
        <f t="shared" si="1"/>
        <v>0.5833333333</v>
      </c>
    </row>
    <row r="27">
      <c r="A27" s="98">
        <v>45880.0</v>
      </c>
      <c r="B27" s="16">
        <v>639484.0</v>
      </c>
      <c r="C27" s="16">
        <v>222100.0</v>
      </c>
      <c r="D27" s="99">
        <v>40.0</v>
      </c>
      <c r="E27" s="99">
        <v>12.0</v>
      </c>
      <c r="F27" s="100">
        <f t="shared" si="1"/>
        <v>0.3</v>
      </c>
    </row>
    <row r="28">
      <c r="A28" s="98">
        <v>45881.0</v>
      </c>
      <c r="B28" s="16">
        <v>550000.0</v>
      </c>
      <c r="C28" s="16">
        <v>120000.0</v>
      </c>
      <c r="D28" s="99">
        <v>39.0</v>
      </c>
      <c r="E28" s="99">
        <v>11.0</v>
      </c>
      <c r="F28" s="100">
        <f t="shared" si="1"/>
        <v>0.2820512821</v>
      </c>
    </row>
    <row r="29">
      <c r="A29" s="98">
        <v>45882.0</v>
      </c>
      <c r="B29" s="16">
        <v>55000.0</v>
      </c>
      <c r="C29" s="16">
        <v>400000.0</v>
      </c>
      <c r="D29" s="99">
        <v>36.0</v>
      </c>
      <c r="E29" s="99">
        <v>27.0</v>
      </c>
      <c r="F29" s="100">
        <f t="shared" si="1"/>
        <v>0.75</v>
      </c>
    </row>
    <row r="30">
      <c r="A30" s="98">
        <v>45883.0</v>
      </c>
      <c r="B30" s="16">
        <v>582000.0</v>
      </c>
      <c r="C30" s="16">
        <v>247500.0</v>
      </c>
      <c r="D30" s="99">
        <v>39.0</v>
      </c>
      <c r="E30" s="99">
        <v>16.0</v>
      </c>
      <c r="F30" s="100">
        <f t="shared" si="1"/>
        <v>0.4102564103</v>
      </c>
    </row>
    <row r="31">
      <c r="A31" s="98">
        <v>45884.0</v>
      </c>
      <c r="B31" s="16">
        <v>592000.0</v>
      </c>
      <c r="C31" s="16">
        <v>247500.0</v>
      </c>
      <c r="D31" s="99">
        <v>39.0</v>
      </c>
      <c r="E31" s="99">
        <v>16.0</v>
      </c>
      <c r="F31" s="100">
        <f t="shared" si="1"/>
        <v>0.4102564103</v>
      </c>
    </row>
    <row r="32">
      <c r="A32" s="98">
        <v>45885.0</v>
      </c>
      <c r="B32" s="16">
        <v>856800.0</v>
      </c>
      <c r="C32" s="16">
        <v>100000.0</v>
      </c>
      <c r="D32" s="99">
        <v>53.0</v>
      </c>
      <c r="E32" s="99">
        <v>9.0</v>
      </c>
      <c r="F32" s="100">
        <f t="shared" si="1"/>
        <v>0.1698113208</v>
      </c>
    </row>
    <row r="33">
      <c r="A33" s="98">
        <v>45886.0</v>
      </c>
      <c r="B33" s="16">
        <v>856800.0</v>
      </c>
      <c r="C33" s="16">
        <v>10000.0</v>
      </c>
      <c r="D33" s="99">
        <v>53.0</v>
      </c>
      <c r="E33" s="99">
        <v>1.0</v>
      </c>
      <c r="F33" s="100">
        <f t="shared" si="1"/>
        <v>0.01886792453</v>
      </c>
    </row>
    <row r="34">
      <c r="A34" s="98">
        <v>45887.0</v>
      </c>
      <c r="B34" s="16">
        <v>856800.0</v>
      </c>
      <c r="C34" s="16">
        <v>302000.0</v>
      </c>
      <c r="D34" s="99">
        <v>50.0</v>
      </c>
      <c r="E34" s="99">
        <v>21.0</v>
      </c>
      <c r="F34" s="100">
        <f t="shared" si="1"/>
        <v>0.42</v>
      </c>
    </row>
    <row r="35">
      <c r="A35" s="98">
        <v>45888.0</v>
      </c>
      <c r="B35" s="16">
        <v>856800.0</v>
      </c>
      <c r="C35" s="16">
        <v>550000.0</v>
      </c>
      <c r="D35" s="99">
        <v>50.0</v>
      </c>
      <c r="E35" s="99">
        <v>21.0</v>
      </c>
      <c r="F35" s="100">
        <f t="shared" si="1"/>
        <v>0.42</v>
      </c>
    </row>
    <row r="36">
      <c r="A36" s="98">
        <v>45889.0</v>
      </c>
      <c r="B36" s="16">
        <v>856800.0</v>
      </c>
      <c r="C36" s="16">
        <v>32800.0</v>
      </c>
      <c r="D36" s="99">
        <v>50.0</v>
      </c>
      <c r="E36" s="99">
        <v>26.0</v>
      </c>
      <c r="F36" s="100">
        <f t="shared" si="1"/>
        <v>0.52</v>
      </c>
    </row>
    <row r="37">
      <c r="A37" s="98">
        <v>45890.0</v>
      </c>
      <c r="B37" s="16">
        <v>678000.0</v>
      </c>
      <c r="C37" s="16">
        <v>309000.0</v>
      </c>
      <c r="D37" s="99">
        <v>45.0</v>
      </c>
      <c r="E37" s="99">
        <v>22.0</v>
      </c>
      <c r="F37" s="100">
        <f t="shared" si="1"/>
        <v>0.4888888889</v>
      </c>
    </row>
    <row r="38">
      <c r="A38" s="98">
        <v>45891.0</v>
      </c>
      <c r="B38" s="16">
        <v>678000.0</v>
      </c>
      <c r="C38" s="16">
        <v>379000.0</v>
      </c>
      <c r="D38" s="99">
        <v>45.0</v>
      </c>
      <c r="E38" s="99">
        <v>25.0</v>
      </c>
      <c r="F38" s="100">
        <f t="shared" si="1"/>
        <v>0.5555555556</v>
      </c>
    </row>
    <row r="39">
      <c r="A39" s="98">
        <v>45892.0</v>
      </c>
      <c r="B39" s="16">
        <v>678000.0</v>
      </c>
      <c r="C39" s="16">
        <v>25000.0</v>
      </c>
      <c r="D39" s="99">
        <v>45.0</v>
      </c>
      <c r="E39" s="99">
        <v>3.0</v>
      </c>
      <c r="F39" s="100">
        <f t="shared" si="1"/>
        <v>0.06666666667</v>
      </c>
    </row>
    <row r="40">
      <c r="A40" s="98">
        <v>45893.0</v>
      </c>
      <c r="B40" s="16">
        <v>678000.0</v>
      </c>
      <c r="C40" s="16">
        <v>51000.0</v>
      </c>
      <c r="D40" s="99">
        <v>45.0</v>
      </c>
      <c r="E40" s="99">
        <v>5.0</v>
      </c>
      <c r="F40" s="100">
        <f t="shared" si="1"/>
        <v>0.1111111111</v>
      </c>
    </row>
    <row r="41">
      <c r="A41" s="98">
        <v>45894.0</v>
      </c>
      <c r="B41" s="16">
        <v>678000.0</v>
      </c>
      <c r="C41" s="16">
        <v>362600.0</v>
      </c>
      <c r="D41" s="99">
        <v>51.0</v>
      </c>
      <c r="E41" s="99">
        <v>29.0</v>
      </c>
      <c r="F41" s="100">
        <f t="shared" si="1"/>
        <v>0.568627451</v>
      </c>
    </row>
    <row r="42">
      <c r="A42" s="98">
        <v>45895.0</v>
      </c>
      <c r="B42" s="16">
        <v>678000.0</v>
      </c>
      <c r="C42" s="16">
        <v>1113000.0</v>
      </c>
      <c r="D42" s="99">
        <v>36.0</v>
      </c>
      <c r="E42" s="99">
        <v>29.0</v>
      </c>
      <c r="F42" s="100">
        <f t="shared" si="1"/>
        <v>0.8055555556</v>
      </c>
    </row>
    <row r="43">
      <c r="A43" s="101">
        <v>45896.0</v>
      </c>
      <c r="B43" s="16">
        <v>678000.0</v>
      </c>
      <c r="C43" s="16">
        <v>425900.0</v>
      </c>
      <c r="D43" s="99">
        <v>37.0</v>
      </c>
      <c r="E43" s="99">
        <v>29.0</v>
      </c>
      <c r="F43" s="100">
        <f t="shared" si="1"/>
        <v>0.7837837838</v>
      </c>
    </row>
    <row r="44">
      <c r="A44" s="98">
        <v>45897.0</v>
      </c>
      <c r="B44" s="16"/>
      <c r="C44" s="16"/>
      <c r="F44" s="100" t="str">
        <f t="shared" si="1"/>
        <v>#DIV/0!</v>
      </c>
    </row>
    <row r="45">
      <c r="A45" s="98">
        <v>45898.0</v>
      </c>
      <c r="B45" s="16">
        <v>678000.0</v>
      </c>
      <c r="C45" s="16">
        <v>251000.0</v>
      </c>
      <c r="D45" s="99">
        <v>38.0</v>
      </c>
      <c r="E45" s="99">
        <v>30.0</v>
      </c>
      <c r="F45" s="100">
        <f t="shared" si="1"/>
        <v>0.7894736842</v>
      </c>
    </row>
    <row r="46">
      <c r="A46" s="98">
        <v>45899.0</v>
      </c>
      <c r="B46" s="16">
        <v>678000.0</v>
      </c>
      <c r="C46" s="16">
        <v>313700.0</v>
      </c>
      <c r="D46" s="99">
        <v>38.0</v>
      </c>
      <c r="E46" s="99">
        <v>28.0</v>
      </c>
      <c r="F46" s="100">
        <f t="shared" si="1"/>
        <v>0.7368421053</v>
      </c>
    </row>
    <row r="47">
      <c r="A47" s="98">
        <v>45900.0</v>
      </c>
      <c r="B47" s="16">
        <v>678000.0</v>
      </c>
      <c r="C47" s="16">
        <v>157000.0</v>
      </c>
      <c r="D47" s="99">
        <v>38.0</v>
      </c>
      <c r="E47" s="99">
        <v>5.0</v>
      </c>
      <c r="F47" s="100">
        <f t="shared" si="1"/>
        <v>0.1315789474</v>
      </c>
    </row>
    <row r="48">
      <c r="A48" s="98">
        <v>45901.0</v>
      </c>
      <c r="B48" s="16">
        <v>770439.0</v>
      </c>
      <c r="C48" s="16">
        <v>557000.0</v>
      </c>
      <c r="D48" s="99">
        <v>48.0</v>
      </c>
      <c r="E48" s="99">
        <v>39.0</v>
      </c>
      <c r="F48" s="100">
        <f t="shared" si="1"/>
        <v>0.8125</v>
      </c>
    </row>
    <row r="49">
      <c r="A49" s="98">
        <v>45902.0</v>
      </c>
      <c r="B49" s="16">
        <v>770439.0</v>
      </c>
      <c r="C49" s="16">
        <v>265000.0</v>
      </c>
      <c r="D49" s="99">
        <v>48.0</v>
      </c>
      <c r="E49" s="99">
        <v>19.0</v>
      </c>
      <c r="F49" s="100">
        <f t="shared" si="1"/>
        <v>0.3958333333</v>
      </c>
    </row>
    <row r="50">
      <c r="A50" s="98">
        <v>45903.0</v>
      </c>
      <c r="B50" s="16"/>
      <c r="C50" s="16"/>
      <c r="F50" s="100"/>
    </row>
    <row r="51">
      <c r="A51" s="98">
        <v>45904.0</v>
      </c>
      <c r="B51" s="16">
        <v>770439.0</v>
      </c>
      <c r="C51" s="16">
        <v>433500.0</v>
      </c>
      <c r="D51" s="99">
        <v>57.0</v>
      </c>
      <c r="E51" s="99">
        <v>42.0</v>
      </c>
      <c r="F51" s="100">
        <f t="shared" ref="F51:F53" si="2">C51/B51*100%</f>
        <v>0.5626662202</v>
      </c>
    </row>
    <row r="52">
      <c r="A52" s="98">
        <v>45905.0</v>
      </c>
      <c r="B52" s="16">
        <v>705700.0</v>
      </c>
      <c r="C52" s="16">
        <v>196500.0</v>
      </c>
      <c r="D52" s="99">
        <v>56.0</v>
      </c>
      <c r="E52" s="99">
        <v>21.0</v>
      </c>
      <c r="F52" s="100">
        <f t="shared" si="2"/>
        <v>0.2784469321</v>
      </c>
    </row>
    <row r="53">
      <c r="A53" s="98">
        <v>45906.0</v>
      </c>
      <c r="B53" s="16">
        <v>705700.0</v>
      </c>
      <c r="C53" s="16">
        <v>373200.0</v>
      </c>
      <c r="D53" s="99">
        <v>56.0</v>
      </c>
      <c r="E53" s="99">
        <v>32.0</v>
      </c>
      <c r="F53" s="100">
        <f t="shared" si="2"/>
        <v>0.5288366161</v>
      </c>
    </row>
    <row r="54">
      <c r="A54" s="98"/>
      <c r="B54" s="16"/>
      <c r="C54" s="16"/>
      <c r="D54" s="99"/>
      <c r="E54" s="99"/>
      <c r="F54" s="100"/>
    </row>
    <row r="55">
      <c r="A55" s="98">
        <v>45907.0</v>
      </c>
      <c r="B55" s="16">
        <v>705700.0</v>
      </c>
      <c r="C55" s="16">
        <v>226000.0</v>
      </c>
      <c r="D55" s="99">
        <v>56.0</v>
      </c>
      <c r="E55" s="99">
        <v>4.0</v>
      </c>
      <c r="F55" s="100">
        <f t="shared" ref="F55:F62" si="3">C55/B55*100%</f>
        <v>0.3202493978</v>
      </c>
    </row>
    <row r="56">
      <c r="A56" s="98">
        <v>45908.0</v>
      </c>
      <c r="B56" s="16">
        <v>1350016.0</v>
      </c>
      <c r="C56" s="16">
        <v>532500.0</v>
      </c>
      <c r="D56" s="99">
        <v>55.0</v>
      </c>
      <c r="E56" s="99">
        <v>37.0</v>
      </c>
      <c r="F56" s="100">
        <f t="shared" si="3"/>
        <v>0.3944397696</v>
      </c>
    </row>
    <row r="57">
      <c r="A57" s="98">
        <v>45909.0</v>
      </c>
      <c r="B57" s="16">
        <v>864500.0</v>
      </c>
      <c r="C57" s="16">
        <v>577200.0</v>
      </c>
      <c r="D57" s="99">
        <v>53.0</v>
      </c>
      <c r="E57" s="99">
        <v>41.0</v>
      </c>
      <c r="F57" s="100">
        <f t="shared" si="3"/>
        <v>0.6676691729</v>
      </c>
    </row>
    <row r="58">
      <c r="A58" s="98">
        <v>45910.0</v>
      </c>
      <c r="B58" s="16">
        <v>639485.0</v>
      </c>
      <c r="C58" s="16">
        <v>233000.0</v>
      </c>
      <c r="D58" s="99">
        <v>53.0</v>
      </c>
      <c r="E58" s="99">
        <v>18.0</v>
      </c>
      <c r="F58" s="100">
        <f t="shared" si="3"/>
        <v>0.3643556925</v>
      </c>
    </row>
    <row r="59">
      <c r="A59" s="98">
        <v>45911.0</v>
      </c>
      <c r="B59" s="16">
        <v>639485.0</v>
      </c>
      <c r="C59" s="16">
        <v>167500.0</v>
      </c>
      <c r="D59" s="99">
        <v>53.0</v>
      </c>
      <c r="E59" s="99">
        <v>16.0</v>
      </c>
      <c r="F59" s="100">
        <f t="shared" si="3"/>
        <v>0.2619295214</v>
      </c>
    </row>
    <row r="60">
      <c r="A60" s="98">
        <v>45912.0</v>
      </c>
      <c r="B60" s="16">
        <v>860000.0</v>
      </c>
      <c r="C60" s="16">
        <v>405900.0</v>
      </c>
      <c r="D60" s="99">
        <v>60.0</v>
      </c>
      <c r="E60" s="99">
        <v>42.0</v>
      </c>
      <c r="F60" s="100">
        <f t="shared" si="3"/>
        <v>0.4719767442</v>
      </c>
    </row>
    <row r="61">
      <c r="A61" s="98">
        <v>45913.0</v>
      </c>
      <c r="B61" s="16">
        <v>860000.0</v>
      </c>
      <c r="C61" s="16">
        <v>267400.0</v>
      </c>
      <c r="D61" s="99">
        <v>60.0</v>
      </c>
      <c r="E61" s="99">
        <v>19.0</v>
      </c>
      <c r="F61" s="100">
        <f t="shared" si="3"/>
        <v>0.3109302326</v>
      </c>
    </row>
    <row r="62">
      <c r="A62" s="98">
        <v>45914.0</v>
      </c>
      <c r="B62" s="16">
        <v>860000.0</v>
      </c>
      <c r="C62" s="16">
        <v>215800.0</v>
      </c>
      <c r="D62" s="99">
        <v>60.0</v>
      </c>
      <c r="E62" s="99">
        <v>21.0</v>
      </c>
      <c r="F62" s="100">
        <f t="shared" si="3"/>
        <v>0.2509302326</v>
      </c>
    </row>
    <row r="63">
      <c r="A63" s="98"/>
      <c r="B63" s="16"/>
      <c r="C63" s="96">
        <f>sum(C55:C62)</f>
        <v>2625300</v>
      </c>
      <c r="D63" s="99"/>
      <c r="E63" s="99"/>
      <c r="F63" s="100"/>
    </row>
    <row r="64">
      <c r="A64" s="98">
        <v>45915.0</v>
      </c>
      <c r="B64" s="16">
        <v>1016000.0</v>
      </c>
      <c r="C64" s="16">
        <v>514300.0</v>
      </c>
      <c r="D64" s="99">
        <v>72.0</v>
      </c>
      <c r="E64" s="99">
        <v>46.0</v>
      </c>
      <c r="F64" s="100">
        <f t="shared" ref="F64:F65" si="4">C64/B64*100%</f>
        <v>0.5062007874</v>
      </c>
    </row>
    <row r="65">
      <c r="A65" s="98">
        <v>45916.0</v>
      </c>
      <c r="B65" s="16">
        <v>1016000.0</v>
      </c>
      <c r="C65" s="16">
        <v>945100.0</v>
      </c>
      <c r="D65" s="99">
        <v>68.0</v>
      </c>
      <c r="E65" s="99">
        <v>48.0</v>
      </c>
      <c r="F65" s="100">
        <f t="shared" si="4"/>
        <v>0.9302165354</v>
      </c>
    </row>
    <row r="66">
      <c r="A66" s="98">
        <v>45917.0</v>
      </c>
      <c r="B66" s="16">
        <v>1016000.0</v>
      </c>
      <c r="C66" s="16">
        <v>1175000.0</v>
      </c>
      <c r="D66" s="99">
        <v>76.0</v>
      </c>
      <c r="E66" s="99">
        <v>57.0</v>
      </c>
      <c r="F66" s="100">
        <f>C66/B66*10%</f>
        <v>0.1156496063</v>
      </c>
    </row>
    <row r="67">
      <c r="A67" s="102">
        <v>45918.0</v>
      </c>
      <c r="B67" s="16">
        <v>1016000.0</v>
      </c>
      <c r="C67" s="16">
        <v>393000.0</v>
      </c>
      <c r="D67" s="99">
        <v>76.0</v>
      </c>
      <c r="E67" s="99">
        <v>36.0</v>
      </c>
      <c r="F67" s="100">
        <f t="shared" ref="F67:F70" si="5">C67/B67*100%</f>
        <v>0.3868110236</v>
      </c>
    </row>
    <row r="68">
      <c r="A68" s="102">
        <v>45919.0</v>
      </c>
      <c r="B68" s="16">
        <v>1016000.0</v>
      </c>
      <c r="C68" s="16">
        <v>533400.0</v>
      </c>
      <c r="D68" s="99">
        <v>76.0</v>
      </c>
      <c r="E68" s="99">
        <v>47.0</v>
      </c>
      <c r="F68" s="100">
        <f t="shared" si="5"/>
        <v>0.525</v>
      </c>
    </row>
    <row r="69">
      <c r="A69" s="102">
        <v>45920.0</v>
      </c>
      <c r="B69" s="16">
        <v>1016000.0</v>
      </c>
      <c r="C69" s="16">
        <v>313800.0</v>
      </c>
      <c r="D69" s="99">
        <v>76.0</v>
      </c>
      <c r="E69" s="99">
        <v>27.0</v>
      </c>
      <c r="F69" s="100">
        <f t="shared" si="5"/>
        <v>0.3088582677</v>
      </c>
    </row>
    <row r="70">
      <c r="A70" s="102">
        <v>45921.0</v>
      </c>
      <c r="B70" s="16">
        <v>1016000.0</v>
      </c>
      <c r="C70" s="16">
        <v>762500.0</v>
      </c>
      <c r="D70" s="99">
        <v>76.0</v>
      </c>
      <c r="E70" s="99">
        <v>69.0</v>
      </c>
      <c r="F70" s="100">
        <f t="shared" si="5"/>
        <v>0.750492126</v>
      </c>
    </row>
    <row r="71">
      <c r="A71" s="102"/>
      <c r="B71" s="16"/>
      <c r="C71" s="96">
        <f>sum(C64:C70)</f>
        <v>4637100</v>
      </c>
      <c r="D71" s="99"/>
      <c r="E71" s="99"/>
      <c r="F71" s="100"/>
    </row>
    <row r="72">
      <c r="A72" s="98">
        <v>45922.0</v>
      </c>
      <c r="B72" s="16">
        <v>1362000.0</v>
      </c>
      <c r="C72" s="16">
        <v>604900.0</v>
      </c>
      <c r="D72" s="99">
        <v>81.0</v>
      </c>
      <c r="E72" s="99">
        <v>53.0</v>
      </c>
      <c r="F72" s="100">
        <f t="shared" ref="F72:F78" si="6">C72/B72*100%</f>
        <v>0.4441262849</v>
      </c>
    </row>
    <row r="73">
      <c r="A73" s="98">
        <v>45923.0</v>
      </c>
      <c r="B73" s="16">
        <v>1362000.0</v>
      </c>
      <c r="C73" s="16">
        <v>362200.0</v>
      </c>
      <c r="D73" s="99">
        <v>86.0</v>
      </c>
      <c r="E73" s="99">
        <v>37.0</v>
      </c>
      <c r="F73" s="100">
        <f t="shared" si="6"/>
        <v>0.2659324523</v>
      </c>
    </row>
    <row r="74">
      <c r="A74" s="98">
        <v>45924.0</v>
      </c>
      <c r="B74" s="16">
        <v>1362000.0</v>
      </c>
      <c r="C74" s="16">
        <v>610400.0</v>
      </c>
      <c r="D74" s="99">
        <v>90.0</v>
      </c>
      <c r="E74" s="99">
        <v>57.0</v>
      </c>
      <c r="F74" s="100">
        <f t="shared" si="6"/>
        <v>0.448164464</v>
      </c>
    </row>
    <row r="75">
      <c r="A75" s="98">
        <v>45925.0</v>
      </c>
      <c r="B75" s="16">
        <v>1326000.0</v>
      </c>
      <c r="C75" s="16">
        <v>3412000.0</v>
      </c>
      <c r="D75" s="99">
        <v>90.0</v>
      </c>
      <c r="E75" s="99">
        <v>39.0</v>
      </c>
      <c r="F75" s="100">
        <f t="shared" si="6"/>
        <v>2.573152338</v>
      </c>
    </row>
    <row r="76">
      <c r="A76" s="98">
        <v>45926.0</v>
      </c>
      <c r="B76" s="16">
        <v>1326000.0</v>
      </c>
      <c r="C76" s="16">
        <v>329000.0</v>
      </c>
      <c r="D76" s="99">
        <v>90.0</v>
      </c>
      <c r="E76" s="99">
        <v>32.0</v>
      </c>
      <c r="F76" s="100">
        <f t="shared" si="6"/>
        <v>0.2481146305</v>
      </c>
    </row>
    <row r="77">
      <c r="A77" s="98">
        <v>45927.0</v>
      </c>
      <c r="B77" s="16">
        <v>1326000.0</v>
      </c>
      <c r="C77" s="16">
        <v>202800.0</v>
      </c>
      <c r="D77" s="99">
        <v>90.0</v>
      </c>
      <c r="E77" s="99">
        <v>21.0</v>
      </c>
      <c r="F77" s="100">
        <f t="shared" si="6"/>
        <v>0.1529411765</v>
      </c>
    </row>
    <row r="78">
      <c r="A78" s="98">
        <v>45928.0</v>
      </c>
      <c r="B78" s="16">
        <v>1326000.0</v>
      </c>
      <c r="C78" s="16">
        <v>286100.0</v>
      </c>
      <c r="D78" s="99">
        <v>90.0</v>
      </c>
      <c r="E78" s="99">
        <v>29.0</v>
      </c>
      <c r="F78" s="100">
        <f t="shared" si="6"/>
        <v>0.2157616893</v>
      </c>
    </row>
    <row r="79">
      <c r="A79" s="98"/>
      <c r="B79" s="16"/>
      <c r="C79" s="96">
        <f>sum(C72:C78)</f>
        <v>5807400</v>
      </c>
      <c r="D79" s="99"/>
      <c r="E79" s="99"/>
      <c r="F79" s="100"/>
    </row>
    <row r="80">
      <c r="A80" s="98">
        <v>45929.0</v>
      </c>
      <c r="B80" s="16">
        <v>1326000.0</v>
      </c>
      <c r="C80" s="16">
        <v>587000.0</v>
      </c>
      <c r="D80" s="99">
        <v>90.0</v>
      </c>
      <c r="E80" s="99">
        <v>49.0</v>
      </c>
      <c r="F80" s="100">
        <f t="shared" ref="F80:F104" si="7">C80/B80*100%</f>
        <v>0.4426847662</v>
      </c>
    </row>
    <row r="81">
      <c r="A81" s="98">
        <v>45930.0</v>
      </c>
      <c r="B81" s="16">
        <v>1321600.0</v>
      </c>
      <c r="C81" s="16">
        <v>329800.0</v>
      </c>
      <c r="D81" s="99">
        <v>88.0</v>
      </c>
      <c r="E81" s="99">
        <v>32.0</v>
      </c>
      <c r="F81" s="100">
        <f t="shared" si="7"/>
        <v>0.2495460048</v>
      </c>
    </row>
    <row r="82">
      <c r="A82" s="98">
        <v>45931.0</v>
      </c>
      <c r="B82" s="16">
        <v>1321600.0</v>
      </c>
      <c r="C82" s="16">
        <v>293300.0</v>
      </c>
      <c r="D82" s="99">
        <v>88.0</v>
      </c>
      <c r="E82" s="99">
        <v>26.0</v>
      </c>
      <c r="F82" s="100">
        <f t="shared" si="7"/>
        <v>0.2219279661</v>
      </c>
    </row>
    <row r="83">
      <c r="A83" s="98">
        <v>45932.0</v>
      </c>
      <c r="B83" s="16">
        <v>1260000.0</v>
      </c>
      <c r="C83" s="16">
        <v>692700.0</v>
      </c>
      <c r="D83" s="99">
        <v>84.0</v>
      </c>
      <c r="E83" s="99">
        <v>57.0</v>
      </c>
      <c r="F83" s="100">
        <f t="shared" si="7"/>
        <v>0.5497619048</v>
      </c>
    </row>
    <row r="84">
      <c r="A84" s="98">
        <v>45933.0</v>
      </c>
      <c r="B84" s="16">
        <v>1260000.0</v>
      </c>
      <c r="C84" s="16">
        <v>452200.0</v>
      </c>
      <c r="D84" s="99">
        <v>88.0</v>
      </c>
      <c r="E84" s="99">
        <v>69.0</v>
      </c>
      <c r="F84" s="100">
        <f t="shared" si="7"/>
        <v>0.3588888889</v>
      </c>
    </row>
    <row r="85">
      <c r="A85" s="98">
        <v>45934.0</v>
      </c>
      <c r="B85" s="16">
        <v>1260000.0</v>
      </c>
      <c r="C85" s="16">
        <v>285900.0</v>
      </c>
      <c r="D85" s="99">
        <v>88.0</v>
      </c>
      <c r="E85" s="99">
        <v>23.0</v>
      </c>
      <c r="F85" s="100">
        <f t="shared" si="7"/>
        <v>0.2269047619</v>
      </c>
    </row>
    <row r="86">
      <c r="A86" s="98">
        <v>45935.0</v>
      </c>
      <c r="B86" s="16">
        <v>1260000.0</v>
      </c>
      <c r="C86" s="16">
        <v>228000.0</v>
      </c>
      <c r="D86" s="99">
        <v>88.0</v>
      </c>
      <c r="E86" s="99">
        <v>27.0</v>
      </c>
      <c r="F86" s="100">
        <f t="shared" si="7"/>
        <v>0.180952381</v>
      </c>
    </row>
    <row r="87">
      <c r="A87" s="98">
        <v>45936.0</v>
      </c>
      <c r="B87" s="16">
        <v>1261100.0</v>
      </c>
      <c r="C87" s="16">
        <v>501100.0</v>
      </c>
      <c r="D87" s="99">
        <v>90.0</v>
      </c>
      <c r="E87" s="99">
        <v>57.0</v>
      </c>
      <c r="F87" s="100">
        <f t="shared" si="7"/>
        <v>0.3973515185</v>
      </c>
    </row>
    <row r="88">
      <c r="A88" s="98">
        <v>45937.0</v>
      </c>
      <c r="B88" s="16">
        <v>1261100.0</v>
      </c>
      <c r="C88" s="16">
        <v>630000.0</v>
      </c>
      <c r="D88" s="99">
        <v>90.0</v>
      </c>
      <c r="E88" s="99">
        <v>67.0</v>
      </c>
      <c r="F88" s="100">
        <f t="shared" si="7"/>
        <v>0.4995638728</v>
      </c>
    </row>
    <row r="89">
      <c r="A89" s="98">
        <v>45938.0</v>
      </c>
      <c r="B89" s="16">
        <v>1260000.0</v>
      </c>
      <c r="C89" s="16">
        <v>537000.0</v>
      </c>
      <c r="D89" s="99">
        <v>90.0</v>
      </c>
      <c r="E89" s="99">
        <v>61.0</v>
      </c>
      <c r="F89" s="100">
        <f t="shared" si="7"/>
        <v>0.4261904762</v>
      </c>
    </row>
    <row r="90">
      <c r="A90" s="98">
        <v>45939.0</v>
      </c>
      <c r="B90" s="16">
        <v>1260000.0</v>
      </c>
      <c r="C90" s="16">
        <v>306300.0</v>
      </c>
      <c r="D90" s="99">
        <v>90.0</v>
      </c>
      <c r="E90" s="99">
        <v>32.0</v>
      </c>
      <c r="F90" s="100">
        <f t="shared" si="7"/>
        <v>0.2430952381</v>
      </c>
    </row>
    <row r="91">
      <c r="A91" s="98">
        <v>45940.0</v>
      </c>
      <c r="B91" s="16">
        <v>1260000.0</v>
      </c>
      <c r="C91" s="16">
        <v>279100.0</v>
      </c>
      <c r="D91" s="99">
        <v>90.0</v>
      </c>
      <c r="E91" s="99">
        <v>27.0</v>
      </c>
      <c r="F91" s="100">
        <f t="shared" si="7"/>
        <v>0.2215079365</v>
      </c>
    </row>
    <row r="92">
      <c r="A92" s="98">
        <v>45941.0</v>
      </c>
      <c r="B92" s="16">
        <v>1260000.0</v>
      </c>
      <c r="C92" s="16">
        <v>305200.0</v>
      </c>
      <c r="D92" s="99">
        <v>90.0</v>
      </c>
      <c r="E92" s="99">
        <v>32.0</v>
      </c>
      <c r="F92" s="100">
        <f t="shared" si="7"/>
        <v>0.2422222222</v>
      </c>
    </row>
    <row r="93">
      <c r="A93" s="98">
        <v>45942.0</v>
      </c>
      <c r="B93" s="16">
        <v>1260000.0</v>
      </c>
      <c r="C93" s="16">
        <v>645500.0</v>
      </c>
      <c r="D93" s="99">
        <v>90.0</v>
      </c>
      <c r="E93" s="99">
        <v>61.0</v>
      </c>
      <c r="F93" s="100">
        <f t="shared" si="7"/>
        <v>0.5123015873</v>
      </c>
    </row>
    <row r="94">
      <c r="A94" s="98">
        <v>45943.0</v>
      </c>
      <c r="B94" s="16">
        <v>1260000.0</v>
      </c>
      <c r="C94" s="16">
        <v>262600.0</v>
      </c>
      <c r="D94" s="99">
        <v>90.0</v>
      </c>
      <c r="E94" s="99">
        <v>19.0</v>
      </c>
      <c r="F94" s="100">
        <f t="shared" si="7"/>
        <v>0.2084126984</v>
      </c>
    </row>
    <row r="95">
      <c r="A95" s="98">
        <v>45944.0</v>
      </c>
      <c r="B95" s="16">
        <v>1281000.0</v>
      </c>
      <c r="C95" s="16">
        <v>417800.0</v>
      </c>
      <c r="D95" s="99">
        <v>90.0</v>
      </c>
      <c r="E95" s="99">
        <v>41.0</v>
      </c>
      <c r="F95" s="100">
        <f t="shared" si="7"/>
        <v>0.3261514442</v>
      </c>
    </row>
    <row r="96">
      <c r="A96" s="98">
        <v>45945.0</v>
      </c>
      <c r="B96" s="16">
        <v>1371000.0</v>
      </c>
      <c r="C96" s="16">
        <v>504200.0</v>
      </c>
      <c r="D96" s="99">
        <v>94.0</v>
      </c>
      <c r="E96" s="99">
        <v>65.0</v>
      </c>
      <c r="F96" s="100">
        <f t="shared" si="7"/>
        <v>0.3677607586</v>
      </c>
    </row>
    <row r="97">
      <c r="A97" s="98">
        <v>45946.0</v>
      </c>
      <c r="B97" s="16">
        <v>1371000.0</v>
      </c>
      <c r="C97" s="16">
        <v>600700.0</v>
      </c>
      <c r="D97" s="99">
        <v>94.0</v>
      </c>
      <c r="E97" s="99">
        <v>60.0</v>
      </c>
      <c r="F97" s="100">
        <f t="shared" si="7"/>
        <v>0.4381473377</v>
      </c>
    </row>
    <row r="98">
      <c r="A98" s="98">
        <v>45947.0</v>
      </c>
      <c r="B98" s="16">
        <v>1371000.0</v>
      </c>
      <c r="C98" s="16">
        <v>497900.0</v>
      </c>
      <c r="D98" s="99">
        <v>94.0</v>
      </c>
      <c r="E98" s="99">
        <v>58.0</v>
      </c>
      <c r="F98" s="100">
        <f t="shared" si="7"/>
        <v>0.3631655726</v>
      </c>
    </row>
    <row r="99">
      <c r="A99" s="98">
        <v>45948.0</v>
      </c>
      <c r="B99" s="16">
        <v>1371000.0</v>
      </c>
      <c r="C99" s="16">
        <v>291200.0</v>
      </c>
      <c r="D99" s="99">
        <v>94.0</v>
      </c>
      <c r="E99" s="99">
        <v>29.0</v>
      </c>
      <c r="F99" s="100">
        <f t="shared" si="7"/>
        <v>0.2123997082</v>
      </c>
    </row>
    <row r="100">
      <c r="A100" s="98">
        <v>45949.0</v>
      </c>
      <c r="B100" s="16">
        <v>1371000.0</v>
      </c>
      <c r="C100" s="16">
        <v>303700.0</v>
      </c>
      <c r="D100" s="99">
        <v>94.0</v>
      </c>
      <c r="E100" s="99">
        <v>41.0</v>
      </c>
      <c r="F100" s="100">
        <f t="shared" si="7"/>
        <v>0.2215171408</v>
      </c>
    </row>
    <row r="101">
      <c r="A101" s="98">
        <v>45950.0</v>
      </c>
      <c r="B101" s="16">
        <v>1371000.0</v>
      </c>
      <c r="C101" s="96">
        <v>516000.0</v>
      </c>
      <c r="D101" s="99">
        <v>94.0</v>
      </c>
      <c r="E101" s="99">
        <v>60.0</v>
      </c>
      <c r="F101" s="100">
        <f t="shared" si="7"/>
        <v>0.3763676149</v>
      </c>
    </row>
    <row r="102">
      <c r="A102" s="98">
        <v>45951.0</v>
      </c>
      <c r="B102" s="16">
        <v>1371000.0</v>
      </c>
      <c r="C102" s="96">
        <v>663400.0</v>
      </c>
      <c r="D102" s="99">
        <v>94.0</v>
      </c>
      <c r="E102" s="99">
        <v>70.0</v>
      </c>
      <c r="F102" s="100">
        <f t="shared" si="7"/>
        <v>0.4838803793</v>
      </c>
    </row>
    <row r="103">
      <c r="A103" s="98">
        <v>45952.0</v>
      </c>
      <c r="B103" s="16">
        <v>1371000.0</v>
      </c>
      <c r="C103" s="96">
        <v>334700.0</v>
      </c>
      <c r="D103" s="99">
        <v>94.0</v>
      </c>
      <c r="E103" s="99">
        <v>40.0</v>
      </c>
      <c r="F103" s="100">
        <f t="shared" si="7"/>
        <v>0.2441283735</v>
      </c>
    </row>
    <row r="104">
      <c r="A104" s="98">
        <v>45953.0</v>
      </c>
      <c r="B104" s="16">
        <v>1371000.0</v>
      </c>
      <c r="C104" s="96">
        <v>360300.0</v>
      </c>
      <c r="D104" s="99">
        <v>94.0</v>
      </c>
      <c r="E104" s="99">
        <v>39.0</v>
      </c>
      <c r="F104" s="100">
        <f t="shared" si="7"/>
        <v>0.2628008753</v>
      </c>
    </row>
    <row r="105">
      <c r="A105" s="103"/>
      <c r="B105" s="9"/>
      <c r="C105" s="104"/>
    </row>
    <row r="106">
      <c r="A106" s="103"/>
      <c r="B106" s="9"/>
      <c r="C106" s="104"/>
    </row>
    <row r="107">
      <c r="A107" s="103"/>
      <c r="B107" s="9">
        <f>B86*30</f>
        <v>37800000</v>
      </c>
      <c r="C107" s="104">
        <f>sum(C80:C86)</f>
        <v>2868900</v>
      </c>
    </row>
    <row r="108">
      <c r="A108" s="103"/>
      <c r="B108" s="9"/>
      <c r="C108" s="9">
        <f>C107*5%</f>
        <v>143445</v>
      </c>
    </row>
    <row r="109">
      <c r="A109" s="103"/>
      <c r="B109" s="9"/>
      <c r="C109" s="16" t="s">
        <v>599</v>
      </c>
    </row>
    <row r="110">
      <c r="A110" s="103"/>
      <c r="B110" s="9"/>
      <c r="C110" s="9"/>
    </row>
    <row r="111">
      <c r="A111" s="103"/>
      <c r="B111" s="9"/>
      <c r="C111" s="9"/>
    </row>
    <row r="112">
      <c r="A112" s="103"/>
      <c r="B112" s="9"/>
      <c r="C112" s="9"/>
    </row>
    <row r="113">
      <c r="A113" s="103"/>
      <c r="B113" s="9"/>
      <c r="C113" s="9"/>
    </row>
    <row r="114">
      <c r="A114" s="103"/>
      <c r="B114" s="9"/>
      <c r="C114" s="9"/>
    </row>
    <row r="115">
      <c r="A115" s="103"/>
      <c r="B115" s="9"/>
      <c r="C115" s="9"/>
    </row>
    <row r="116">
      <c r="A116" s="103"/>
      <c r="B116" s="9"/>
      <c r="C116" s="9"/>
    </row>
    <row r="117">
      <c r="A117" s="103"/>
      <c r="B117" s="9"/>
      <c r="C117" s="9"/>
    </row>
    <row r="118">
      <c r="A118" s="103"/>
      <c r="B118" s="9"/>
      <c r="C118" s="9"/>
    </row>
    <row r="119">
      <c r="A119" s="103"/>
      <c r="B119" s="9"/>
      <c r="C119" s="9"/>
    </row>
    <row r="120">
      <c r="A120" s="103"/>
      <c r="B120" s="9"/>
      <c r="C120" s="9"/>
    </row>
    <row r="121">
      <c r="A121" s="103"/>
      <c r="B121" s="9"/>
      <c r="C121" s="9"/>
    </row>
    <row r="122">
      <c r="A122" s="103"/>
      <c r="B122" s="9"/>
      <c r="C122" s="9"/>
    </row>
    <row r="123">
      <c r="A123" s="103"/>
      <c r="B123" s="9"/>
      <c r="C123" s="9"/>
    </row>
    <row r="124">
      <c r="A124" s="103"/>
      <c r="B124" s="9"/>
      <c r="C124" s="9"/>
    </row>
    <row r="125">
      <c r="A125" s="103"/>
      <c r="B125" s="9"/>
      <c r="C125" s="9"/>
    </row>
    <row r="126">
      <c r="A126" s="103"/>
      <c r="B126" s="9"/>
      <c r="C126" s="9"/>
    </row>
    <row r="127">
      <c r="A127" s="103"/>
      <c r="B127" s="9"/>
      <c r="C127" s="9"/>
    </row>
    <row r="128">
      <c r="A128" s="103"/>
      <c r="B128" s="9"/>
      <c r="C128" s="9"/>
    </row>
    <row r="129">
      <c r="A129" s="103"/>
      <c r="B129" s="9"/>
      <c r="C129" s="9"/>
    </row>
    <row r="130">
      <c r="A130" s="103"/>
      <c r="B130" s="9"/>
      <c r="C130" s="9"/>
    </row>
    <row r="131">
      <c r="A131" s="103"/>
      <c r="B131" s="9"/>
      <c r="C131" s="9"/>
    </row>
    <row r="132">
      <c r="A132" s="103"/>
      <c r="B132" s="9"/>
      <c r="C132" s="9"/>
    </row>
    <row r="133">
      <c r="A133" s="103"/>
      <c r="B133" s="9"/>
      <c r="C133" s="9"/>
    </row>
    <row r="134">
      <c r="A134" s="103"/>
      <c r="B134" s="9"/>
      <c r="C134" s="9"/>
    </row>
    <row r="135">
      <c r="A135" s="103"/>
      <c r="B135" s="9"/>
      <c r="C135" s="9"/>
    </row>
    <row r="136">
      <c r="A136" s="103"/>
      <c r="B136" s="9"/>
      <c r="C136" s="9"/>
    </row>
    <row r="137">
      <c r="A137" s="103"/>
      <c r="B137" s="9"/>
      <c r="C137" s="9"/>
    </row>
    <row r="138">
      <c r="A138" s="103"/>
      <c r="B138" s="9"/>
      <c r="C138" s="9"/>
    </row>
    <row r="139">
      <c r="A139" s="103"/>
      <c r="B139" s="9"/>
      <c r="C139" s="9"/>
    </row>
    <row r="140">
      <c r="A140" s="103"/>
      <c r="B140" s="9"/>
      <c r="C140" s="9"/>
    </row>
    <row r="141">
      <c r="A141" s="103"/>
      <c r="B141" s="9"/>
      <c r="C141" s="9"/>
    </row>
    <row r="142">
      <c r="A142" s="103"/>
      <c r="B142" s="9"/>
      <c r="C142" s="9"/>
    </row>
    <row r="143">
      <c r="A143" s="103"/>
      <c r="B143" s="9"/>
      <c r="C143" s="9"/>
    </row>
    <row r="144">
      <c r="A144" s="103"/>
      <c r="B144" s="9"/>
      <c r="C144" s="9"/>
    </row>
    <row r="145">
      <c r="A145" s="103"/>
      <c r="B145" s="9"/>
      <c r="C145" s="9"/>
    </row>
    <row r="146">
      <c r="A146" s="103"/>
      <c r="B146" s="9"/>
      <c r="C146" s="9"/>
    </row>
    <row r="147">
      <c r="A147" s="103"/>
      <c r="B147" s="9"/>
      <c r="C147" s="9"/>
    </row>
    <row r="148">
      <c r="A148" s="103"/>
      <c r="B148" s="9"/>
      <c r="C148" s="9"/>
    </row>
    <row r="149">
      <c r="A149" s="103"/>
      <c r="B149" s="9"/>
      <c r="C149" s="9"/>
    </row>
    <row r="150">
      <c r="A150" s="103"/>
      <c r="B150" s="9"/>
      <c r="C150" s="9"/>
    </row>
    <row r="151">
      <c r="A151" s="103"/>
      <c r="B151" s="9"/>
      <c r="C151" s="9"/>
    </row>
    <row r="152">
      <c r="A152" s="103"/>
      <c r="B152" s="9"/>
      <c r="C152" s="9"/>
    </row>
    <row r="153">
      <c r="A153" s="103"/>
      <c r="B153" s="9"/>
      <c r="C153" s="9"/>
    </row>
    <row r="154">
      <c r="A154" s="103"/>
      <c r="B154" s="9"/>
      <c r="C154" s="9"/>
    </row>
    <row r="155">
      <c r="A155" s="103"/>
      <c r="B155" s="9"/>
      <c r="C155" s="9"/>
    </row>
    <row r="156">
      <c r="A156" s="103"/>
      <c r="B156" s="9"/>
      <c r="C156" s="9"/>
    </row>
    <row r="157">
      <c r="A157" s="103"/>
      <c r="B157" s="9"/>
      <c r="C157" s="9"/>
    </row>
    <row r="158">
      <c r="A158" s="103"/>
      <c r="B158" s="9"/>
      <c r="C158" s="9"/>
    </row>
    <row r="159">
      <c r="A159" s="103"/>
      <c r="B159" s="9"/>
      <c r="C159" s="9"/>
    </row>
    <row r="160">
      <c r="A160" s="103"/>
      <c r="B160" s="9"/>
      <c r="C160" s="9"/>
    </row>
    <row r="161">
      <c r="A161" s="103"/>
      <c r="B161" s="9"/>
      <c r="C161" s="9"/>
    </row>
    <row r="162">
      <c r="A162" s="103"/>
      <c r="B162" s="9"/>
      <c r="C162" s="9"/>
    </row>
    <row r="163">
      <c r="A163" s="103"/>
      <c r="B163" s="9"/>
      <c r="C163" s="9"/>
    </row>
    <row r="164">
      <c r="A164" s="103"/>
      <c r="B164" s="9"/>
      <c r="C164" s="9"/>
    </row>
    <row r="165">
      <c r="A165" s="103"/>
      <c r="B165" s="9"/>
      <c r="C165" s="9"/>
    </row>
    <row r="166">
      <c r="A166" s="103"/>
      <c r="B166" s="9"/>
      <c r="C166" s="9"/>
    </row>
    <row r="167">
      <c r="A167" s="103"/>
      <c r="B167" s="9"/>
      <c r="C167" s="9"/>
    </row>
    <row r="168">
      <c r="A168" s="103"/>
      <c r="B168" s="9"/>
      <c r="C168" s="9"/>
    </row>
    <row r="169">
      <c r="A169" s="103"/>
      <c r="B169" s="9"/>
      <c r="C169" s="9"/>
    </row>
    <row r="170">
      <c r="A170" s="103"/>
      <c r="B170" s="9"/>
      <c r="C170" s="9"/>
    </row>
    <row r="171">
      <c r="A171" s="103"/>
      <c r="B171" s="9"/>
      <c r="C171" s="9"/>
    </row>
    <row r="172">
      <c r="A172" s="103"/>
      <c r="B172" s="9"/>
      <c r="C172" s="9"/>
    </row>
    <row r="173">
      <c r="A173" s="103"/>
      <c r="B173" s="9"/>
      <c r="C173" s="9"/>
    </row>
    <row r="174">
      <c r="A174" s="103"/>
      <c r="B174" s="9"/>
      <c r="C174" s="9"/>
    </row>
    <row r="175">
      <c r="A175" s="103"/>
      <c r="B175" s="9"/>
      <c r="C175" s="9"/>
    </row>
    <row r="176">
      <c r="A176" s="103"/>
      <c r="B176" s="9"/>
      <c r="C176" s="9"/>
    </row>
    <row r="177">
      <c r="A177" s="103"/>
      <c r="B177" s="9"/>
      <c r="C177" s="9"/>
    </row>
    <row r="178">
      <c r="A178" s="103"/>
      <c r="B178" s="9"/>
      <c r="C178" s="9"/>
    </row>
    <row r="179">
      <c r="A179" s="103"/>
      <c r="B179" s="9"/>
      <c r="C179" s="9"/>
    </row>
    <row r="180">
      <c r="A180" s="103"/>
      <c r="B180" s="9"/>
      <c r="C180" s="9"/>
    </row>
    <row r="181">
      <c r="A181" s="103"/>
      <c r="B181" s="9"/>
      <c r="C181" s="9"/>
    </row>
    <row r="182">
      <c r="A182" s="103"/>
      <c r="B182" s="9"/>
      <c r="C182" s="9"/>
    </row>
    <row r="183">
      <c r="A183" s="103"/>
      <c r="B183" s="9"/>
      <c r="C183" s="9"/>
    </row>
    <row r="184">
      <c r="A184" s="103"/>
      <c r="B184" s="9"/>
      <c r="C184" s="9"/>
    </row>
    <row r="185">
      <c r="A185" s="103"/>
      <c r="B185" s="9"/>
      <c r="C185" s="9"/>
    </row>
    <row r="186">
      <c r="A186" s="103"/>
      <c r="B186" s="9"/>
      <c r="C186" s="9"/>
    </row>
    <row r="187">
      <c r="A187" s="103"/>
      <c r="B187" s="9"/>
      <c r="C187" s="9"/>
    </row>
    <row r="188">
      <c r="A188" s="103"/>
      <c r="B188" s="9"/>
      <c r="C188" s="9"/>
    </row>
    <row r="189">
      <c r="A189" s="103"/>
      <c r="B189" s="9"/>
      <c r="C189" s="9"/>
    </row>
    <row r="190">
      <c r="A190" s="103"/>
      <c r="B190" s="9"/>
      <c r="C190" s="9"/>
    </row>
    <row r="191">
      <c r="A191" s="103"/>
      <c r="B191" s="9"/>
      <c r="C191" s="9"/>
    </row>
    <row r="192">
      <c r="A192" s="103"/>
      <c r="B192" s="9"/>
      <c r="C192" s="9"/>
    </row>
    <row r="193">
      <c r="A193" s="103"/>
      <c r="B193" s="9"/>
      <c r="C193" s="9"/>
    </row>
    <row r="194">
      <c r="A194" s="103"/>
      <c r="B194" s="9"/>
      <c r="C194" s="9"/>
    </row>
    <row r="195">
      <c r="A195" s="103"/>
      <c r="B195" s="9"/>
      <c r="C195" s="9"/>
    </row>
    <row r="196">
      <c r="A196" s="103"/>
      <c r="B196" s="9"/>
      <c r="C196" s="9"/>
    </row>
    <row r="197">
      <c r="A197" s="103"/>
      <c r="B197" s="9"/>
      <c r="C197" s="9"/>
    </row>
    <row r="198">
      <c r="A198" s="103"/>
      <c r="B198" s="9"/>
      <c r="C198" s="9"/>
    </row>
    <row r="199">
      <c r="A199" s="103"/>
      <c r="B199" s="9"/>
      <c r="C199" s="9"/>
    </row>
    <row r="200">
      <c r="A200" s="103"/>
      <c r="B200" s="9"/>
      <c r="C200" s="9"/>
    </row>
    <row r="201">
      <c r="A201" s="103"/>
      <c r="B201" s="9"/>
      <c r="C201" s="9"/>
    </row>
    <row r="202">
      <c r="A202" s="103"/>
      <c r="B202" s="9"/>
      <c r="C202" s="9"/>
    </row>
    <row r="203">
      <c r="A203" s="103"/>
      <c r="B203" s="9"/>
      <c r="C203" s="9"/>
    </row>
    <row r="204">
      <c r="A204" s="103"/>
      <c r="B204" s="9"/>
      <c r="C204" s="9"/>
    </row>
    <row r="205">
      <c r="A205" s="103"/>
      <c r="B205" s="9"/>
      <c r="C205" s="9"/>
    </row>
    <row r="206">
      <c r="A206" s="103"/>
      <c r="B206" s="9"/>
      <c r="C206" s="9"/>
    </row>
    <row r="207">
      <c r="A207" s="103"/>
      <c r="B207" s="9"/>
      <c r="C207" s="9"/>
    </row>
    <row r="208">
      <c r="A208" s="103"/>
      <c r="B208" s="9"/>
      <c r="C208" s="9"/>
    </row>
    <row r="209">
      <c r="A209" s="103"/>
      <c r="B209" s="9"/>
      <c r="C209" s="9"/>
    </row>
    <row r="210">
      <c r="A210" s="103"/>
      <c r="B210" s="9"/>
      <c r="C210" s="9"/>
    </row>
    <row r="211">
      <c r="A211" s="103"/>
      <c r="B211" s="9"/>
      <c r="C211" s="9"/>
    </row>
    <row r="212">
      <c r="A212" s="103"/>
      <c r="B212" s="9"/>
      <c r="C212" s="9"/>
    </row>
    <row r="213">
      <c r="A213" s="103"/>
      <c r="B213" s="9"/>
      <c r="C213" s="9"/>
    </row>
    <row r="214">
      <c r="A214" s="103"/>
      <c r="B214" s="9"/>
      <c r="C214" s="9"/>
    </row>
    <row r="215">
      <c r="A215" s="103"/>
      <c r="B215" s="9"/>
      <c r="C215" s="9"/>
    </row>
    <row r="216">
      <c r="A216" s="103"/>
      <c r="B216" s="9"/>
      <c r="C216" s="9"/>
    </row>
    <row r="217">
      <c r="A217" s="103"/>
      <c r="B217" s="9"/>
      <c r="C217" s="9"/>
    </row>
    <row r="218">
      <c r="A218" s="103"/>
      <c r="B218" s="9"/>
      <c r="C218" s="9"/>
    </row>
    <row r="219">
      <c r="A219" s="103"/>
      <c r="B219" s="9"/>
      <c r="C219" s="9"/>
    </row>
    <row r="220">
      <c r="A220" s="103"/>
      <c r="B220" s="9"/>
      <c r="C220" s="9"/>
    </row>
    <row r="221">
      <c r="A221" s="103"/>
      <c r="B221" s="9"/>
      <c r="C221" s="9"/>
    </row>
    <row r="222">
      <c r="A222" s="103"/>
      <c r="B222" s="9"/>
      <c r="C222" s="9"/>
    </row>
    <row r="223">
      <c r="A223" s="103"/>
      <c r="B223" s="9"/>
      <c r="C223" s="9"/>
    </row>
    <row r="224">
      <c r="A224" s="103"/>
      <c r="B224" s="9"/>
      <c r="C224" s="9"/>
    </row>
    <row r="225">
      <c r="A225" s="103"/>
      <c r="B225" s="9"/>
      <c r="C225" s="9"/>
    </row>
    <row r="226">
      <c r="A226" s="103"/>
      <c r="B226" s="9"/>
      <c r="C226" s="9"/>
    </row>
    <row r="227">
      <c r="A227" s="103"/>
      <c r="B227" s="9"/>
      <c r="C227" s="9"/>
    </row>
    <row r="228">
      <c r="A228" s="103"/>
      <c r="B228" s="9"/>
      <c r="C228" s="9"/>
    </row>
    <row r="229">
      <c r="A229" s="103"/>
      <c r="B229" s="9"/>
      <c r="C229" s="9"/>
    </row>
    <row r="230">
      <c r="A230" s="103"/>
      <c r="B230" s="9"/>
      <c r="C230" s="9"/>
    </row>
    <row r="231">
      <c r="A231" s="103"/>
      <c r="B231" s="9"/>
      <c r="C231" s="9"/>
    </row>
    <row r="232">
      <c r="A232" s="103"/>
      <c r="B232" s="9"/>
      <c r="C232" s="9"/>
    </row>
    <row r="233">
      <c r="A233" s="103"/>
      <c r="B233" s="9"/>
      <c r="C233" s="9"/>
    </row>
    <row r="234">
      <c r="A234" s="103"/>
      <c r="B234" s="9"/>
      <c r="C234" s="9"/>
    </row>
    <row r="235">
      <c r="A235" s="103"/>
      <c r="B235" s="9"/>
      <c r="C235" s="9"/>
    </row>
    <row r="236">
      <c r="A236" s="103"/>
      <c r="B236" s="9"/>
      <c r="C236" s="9"/>
    </row>
    <row r="237">
      <c r="A237" s="103"/>
      <c r="B237" s="9"/>
      <c r="C237" s="9"/>
    </row>
    <row r="238">
      <c r="A238" s="103"/>
      <c r="B238" s="9"/>
      <c r="C238" s="9"/>
    </row>
    <row r="239">
      <c r="A239" s="103"/>
      <c r="B239" s="9"/>
      <c r="C239" s="9"/>
    </row>
    <row r="240">
      <c r="A240" s="103"/>
      <c r="B240" s="9"/>
      <c r="C240" s="9"/>
    </row>
    <row r="241">
      <c r="A241" s="103"/>
      <c r="B241" s="9"/>
      <c r="C241" s="9"/>
    </row>
    <row r="242">
      <c r="A242" s="103"/>
      <c r="B242" s="9"/>
      <c r="C242" s="9"/>
    </row>
    <row r="243">
      <c r="A243" s="103"/>
      <c r="B243" s="9"/>
      <c r="C243" s="9"/>
    </row>
    <row r="244">
      <c r="A244" s="103"/>
      <c r="B244" s="9"/>
      <c r="C244" s="9"/>
    </row>
    <row r="245">
      <c r="A245" s="103"/>
      <c r="B245" s="9"/>
      <c r="C245" s="9"/>
    </row>
    <row r="246">
      <c r="A246" s="103"/>
      <c r="B246" s="9"/>
      <c r="C246" s="9"/>
    </row>
    <row r="247">
      <c r="A247" s="103"/>
      <c r="B247" s="9"/>
      <c r="C247" s="9"/>
    </row>
    <row r="248">
      <c r="A248" s="103"/>
      <c r="B248" s="9"/>
      <c r="C248" s="9"/>
    </row>
    <row r="249">
      <c r="A249" s="103"/>
      <c r="B249" s="9"/>
      <c r="C249" s="9"/>
    </row>
    <row r="250">
      <c r="A250" s="103"/>
      <c r="B250" s="9"/>
      <c r="C250" s="9"/>
    </row>
    <row r="251">
      <c r="A251" s="103"/>
      <c r="B251" s="9"/>
      <c r="C251" s="9"/>
    </row>
    <row r="252">
      <c r="A252" s="103"/>
      <c r="B252" s="9"/>
      <c r="C252" s="9"/>
    </row>
    <row r="253">
      <c r="A253" s="103"/>
      <c r="B253" s="9"/>
      <c r="C253" s="9"/>
    </row>
    <row r="254">
      <c r="A254" s="103"/>
      <c r="B254" s="9"/>
      <c r="C254" s="9"/>
    </row>
    <row r="255">
      <c r="A255" s="103"/>
      <c r="B255" s="9"/>
      <c r="C255" s="9"/>
    </row>
    <row r="256">
      <c r="A256" s="103"/>
      <c r="B256" s="9"/>
      <c r="C256" s="9"/>
    </row>
    <row r="257">
      <c r="A257" s="103"/>
      <c r="B257" s="9"/>
      <c r="C257" s="9"/>
    </row>
    <row r="258">
      <c r="A258" s="103"/>
      <c r="B258" s="9"/>
      <c r="C258" s="9"/>
    </row>
    <row r="259">
      <c r="A259" s="103"/>
      <c r="B259" s="9"/>
      <c r="C259" s="9"/>
    </row>
    <row r="260">
      <c r="A260" s="103"/>
      <c r="B260" s="9"/>
      <c r="C260" s="9"/>
    </row>
    <row r="261">
      <c r="A261" s="103"/>
      <c r="B261" s="9"/>
      <c r="C261" s="9"/>
    </row>
    <row r="262">
      <c r="A262" s="103"/>
      <c r="B262" s="9"/>
      <c r="C262" s="9"/>
    </row>
    <row r="263">
      <c r="A263" s="103"/>
      <c r="B263" s="9"/>
      <c r="C263" s="9"/>
    </row>
    <row r="264">
      <c r="A264" s="103"/>
      <c r="B264" s="9"/>
      <c r="C264" s="9"/>
    </row>
    <row r="265">
      <c r="A265" s="103"/>
      <c r="B265" s="9"/>
      <c r="C265" s="9"/>
    </row>
    <row r="266">
      <c r="A266" s="103"/>
      <c r="B266" s="9"/>
      <c r="C266" s="9"/>
    </row>
    <row r="267">
      <c r="A267" s="103"/>
      <c r="B267" s="9"/>
      <c r="C267" s="9"/>
    </row>
    <row r="268">
      <c r="A268" s="103"/>
      <c r="B268" s="9"/>
      <c r="C268" s="9"/>
    </row>
    <row r="269">
      <c r="A269" s="103"/>
      <c r="B269" s="9"/>
      <c r="C269" s="9"/>
    </row>
    <row r="270">
      <c r="A270" s="103"/>
      <c r="B270" s="9"/>
      <c r="C270" s="9"/>
    </row>
    <row r="271">
      <c r="A271" s="103"/>
      <c r="B271" s="9"/>
      <c r="C271" s="9"/>
    </row>
    <row r="272">
      <c r="A272" s="103"/>
      <c r="B272" s="9"/>
      <c r="C272" s="9"/>
    </row>
    <row r="273">
      <c r="A273" s="103"/>
      <c r="B273" s="9"/>
      <c r="C273" s="9"/>
    </row>
    <row r="274">
      <c r="A274" s="103"/>
      <c r="B274" s="9"/>
      <c r="C274" s="9"/>
    </row>
    <row r="275">
      <c r="A275" s="103"/>
      <c r="B275" s="9"/>
      <c r="C275" s="9"/>
    </row>
    <row r="276">
      <c r="A276" s="103"/>
      <c r="B276" s="9"/>
      <c r="C276" s="9"/>
    </row>
    <row r="277">
      <c r="A277" s="103"/>
      <c r="B277" s="9"/>
      <c r="C277" s="9"/>
    </row>
    <row r="278">
      <c r="A278" s="103"/>
      <c r="B278" s="9"/>
      <c r="C278" s="9"/>
    </row>
    <row r="279">
      <c r="A279" s="103"/>
      <c r="B279" s="9"/>
      <c r="C279" s="9"/>
    </row>
    <row r="280">
      <c r="A280" s="103"/>
      <c r="B280" s="9"/>
      <c r="C280" s="9"/>
    </row>
    <row r="281">
      <c r="A281" s="103"/>
      <c r="B281" s="9"/>
      <c r="C281" s="9"/>
    </row>
    <row r="282">
      <c r="A282" s="103"/>
      <c r="B282" s="9"/>
      <c r="C282" s="9"/>
    </row>
    <row r="283">
      <c r="A283" s="103"/>
      <c r="B283" s="9"/>
      <c r="C283" s="9"/>
    </row>
    <row r="284">
      <c r="A284" s="103"/>
      <c r="B284" s="9"/>
      <c r="C284" s="9"/>
    </row>
    <row r="285">
      <c r="A285" s="103"/>
      <c r="B285" s="9"/>
      <c r="C285" s="9"/>
    </row>
    <row r="286">
      <c r="A286" s="103"/>
      <c r="B286" s="9"/>
      <c r="C286" s="9"/>
    </row>
    <row r="287">
      <c r="A287" s="103"/>
      <c r="B287" s="9"/>
      <c r="C287" s="9"/>
    </row>
    <row r="288">
      <c r="A288" s="103"/>
      <c r="B288" s="9"/>
      <c r="C288" s="9"/>
    </row>
    <row r="289">
      <c r="A289" s="103"/>
      <c r="B289" s="9"/>
      <c r="C289" s="9"/>
    </row>
    <row r="290">
      <c r="A290" s="103"/>
      <c r="B290" s="9"/>
      <c r="C290" s="9"/>
    </row>
    <row r="291">
      <c r="A291" s="103"/>
      <c r="B291" s="9"/>
      <c r="C291" s="9"/>
    </row>
    <row r="292">
      <c r="A292" s="103"/>
      <c r="B292" s="9"/>
      <c r="C292" s="9"/>
    </row>
    <row r="293">
      <c r="A293" s="103"/>
      <c r="B293" s="9"/>
      <c r="C293" s="9"/>
    </row>
    <row r="294">
      <c r="A294" s="103"/>
      <c r="B294" s="9"/>
      <c r="C294" s="9"/>
    </row>
    <row r="295">
      <c r="A295" s="103"/>
      <c r="B295" s="9"/>
      <c r="C295" s="9"/>
    </row>
    <row r="296">
      <c r="A296" s="103"/>
      <c r="B296" s="9"/>
      <c r="C296" s="9"/>
    </row>
    <row r="297">
      <c r="A297" s="103"/>
      <c r="B297" s="9"/>
      <c r="C297" s="9"/>
    </row>
    <row r="298">
      <c r="A298" s="103"/>
      <c r="B298" s="9"/>
      <c r="C298" s="9"/>
    </row>
    <row r="299">
      <c r="A299" s="103"/>
      <c r="B299" s="9"/>
      <c r="C299" s="9"/>
    </row>
    <row r="300">
      <c r="A300" s="103"/>
      <c r="B300" s="9"/>
      <c r="C300" s="9"/>
    </row>
    <row r="301">
      <c r="A301" s="103"/>
      <c r="B301" s="9"/>
      <c r="C301" s="9"/>
    </row>
    <row r="302">
      <c r="A302" s="103"/>
      <c r="B302" s="9"/>
      <c r="C302" s="9"/>
    </row>
    <row r="303">
      <c r="A303" s="103"/>
      <c r="B303" s="9"/>
      <c r="C303" s="9"/>
    </row>
    <row r="304">
      <c r="A304" s="103"/>
      <c r="B304" s="9"/>
      <c r="C304" s="9"/>
    </row>
    <row r="305">
      <c r="A305" s="103"/>
      <c r="B305" s="9"/>
      <c r="C305" s="9"/>
    </row>
    <row r="306">
      <c r="A306" s="103"/>
      <c r="B306" s="9"/>
      <c r="C306" s="9"/>
    </row>
    <row r="307">
      <c r="A307" s="103"/>
      <c r="B307" s="9"/>
      <c r="C307" s="9"/>
    </row>
    <row r="308">
      <c r="A308" s="103"/>
      <c r="B308" s="9"/>
      <c r="C308" s="9"/>
    </row>
    <row r="309">
      <c r="A309" s="103"/>
      <c r="B309" s="9"/>
      <c r="C309" s="9"/>
    </row>
    <row r="310">
      <c r="A310" s="103"/>
      <c r="B310" s="9"/>
      <c r="C310" s="9"/>
    </row>
    <row r="311">
      <c r="A311" s="103"/>
      <c r="B311" s="9"/>
      <c r="C311" s="9"/>
    </row>
    <row r="312">
      <c r="A312" s="103"/>
      <c r="B312" s="9"/>
      <c r="C312" s="9"/>
    </row>
    <row r="313">
      <c r="A313" s="103"/>
      <c r="B313" s="9"/>
      <c r="C313" s="9"/>
    </row>
    <row r="314">
      <c r="A314" s="103"/>
      <c r="B314" s="9"/>
      <c r="C314" s="9"/>
    </row>
    <row r="315">
      <c r="A315" s="103"/>
      <c r="B315" s="9"/>
      <c r="C315" s="9"/>
    </row>
    <row r="316">
      <c r="A316" s="103"/>
      <c r="B316" s="9"/>
      <c r="C316" s="9"/>
    </row>
    <row r="317">
      <c r="A317" s="103"/>
      <c r="B317" s="9"/>
      <c r="C317" s="9"/>
    </row>
    <row r="318">
      <c r="A318" s="103"/>
      <c r="B318" s="9"/>
      <c r="C318" s="9"/>
    </row>
    <row r="319">
      <c r="A319" s="103"/>
      <c r="B319" s="9"/>
      <c r="C319" s="9"/>
    </row>
    <row r="320">
      <c r="A320" s="103"/>
      <c r="B320" s="9"/>
      <c r="C320" s="9"/>
    </row>
    <row r="321">
      <c r="A321" s="103"/>
      <c r="B321" s="9"/>
      <c r="C321" s="9"/>
    </row>
    <row r="322">
      <c r="A322" s="103"/>
      <c r="B322" s="9"/>
      <c r="C322" s="9"/>
    </row>
    <row r="323">
      <c r="A323" s="103"/>
      <c r="B323" s="9"/>
      <c r="C323" s="9"/>
    </row>
    <row r="324">
      <c r="A324" s="103"/>
      <c r="B324" s="9"/>
      <c r="C324" s="9"/>
    </row>
    <row r="325">
      <c r="A325" s="103"/>
      <c r="B325" s="9"/>
      <c r="C325" s="9"/>
    </row>
    <row r="326">
      <c r="A326" s="103"/>
      <c r="B326" s="9"/>
      <c r="C326" s="9"/>
    </row>
    <row r="327">
      <c r="A327" s="103"/>
      <c r="B327" s="9"/>
      <c r="C327" s="9"/>
    </row>
    <row r="328">
      <c r="A328" s="103"/>
      <c r="B328" s="9"/>
      <c r="C328" s="9"/>
    </row>
    <row r="329">
      <c r="A329" s="103"/>
      <c r="B329" s="9"/>
      <c r="C329" s="9"/>
    </row>
    <row r="330">
      <c r="A330" s="103"/>
      <c r="B330" s="9"/>
      <c r="C330" s="9"/>
    </row>
    <row r="331">
      <c r="A331" s="103"/>
      <c r="B331" s="9"/>
      <c r="C331" s="9"/>
    </row>
    <row r="332">
      <c r="A332" s="103"/>
      <c r="B332" s="9"/>
      <c r="C332" s="9"/>
    </row>
    <row r="333">
      <c r="A333" s="103"/>
      <c r="B333" s="9"/>
      <c r="C333" s="9"/>
    </row>
    <row r="334">
      <c r="A334" s="103"/>
      <c r="B334" s="9"/>
      <c r="C334" s="9"/>
    </row>
    <row r="335">
      <c r="A335" s="103"/>
      <c r="B335" s="9"/>
      <c r="C335" s="9"/>
    </row>
    <row r="336">
      <c r="A336" s="103"/>
      <c r="B336" s="9"/>
      <c r="C336" s="9"/>
    </row>
    <row r="337">
      <c r="A337" s="103"/>
      <c r="B337" s="9"/>
      <c r="C337" s="9"/>
    </row>
    <row r="338">
      <c r="A338" s="103"/>
      <c r="B338" s="9"/>
      <c r="C338" s="9"/>
    </row>
    <row r="339">
      <c r="A339" s="103"/>
      <c r="B339" s="9"/>
      <c r="C339" s="9"/>
    </row>
    <row r="340">
      <c r="A340" s="103"/>
      <c r="B340" s="9"/>
      <c r="C340" s="9"/>
    </row>
    <row r="341">
      <c r="A341" s="103"/>
      <c r="B341" s="9"/>
      <c r="C341" s="9"/>
    </row>
    <row r="342">
      <c r="A342" s="103"/>
      <c r="B342" s="9"/>
      <c r="C342" s="9"/>
    </row>
    <row r="343">
      <c r="A343" s="103"/>
      <c r="B343" s="9"/>
      <c r="C343" s="9"/>
    </row>
    <row r="344">
      <c r="A344" s="103"/>
      <c r="B344" s="9"/>
      <c r="C344" s="9"/>
    </row>
    <row r="345">
      <c r="A345" s="103"/>
      <c r="B345" s="9"/>
      <c r="C345" s="9"/>
    </row>
    <row r="346">
      <c r="A346" s="103"/>
      <c r="B346" s="9"/>
      <c r="C346" s="9"/>
    </row>
    <row r="347">
      <c r="A347" s="103"/>
      <c r="B347" s="9"/>
      <c r="C347" s="9"/>
    </row>
    <row r="348">
      <c r="A348" s="103"/>
      <c r="B348" s="9"/>
      <c r="C348" s="9"/>
    </row>
    <row r="349">
      <c r="A349" s="103"/>
      <c r="B349" s="9"/>
      <c r="C349" s="9"/>
    </row>
    <row r="350">
      <c r="A350" s="103"/>
      <c r="B350" s="9"/>
      <c r="C350" s="9"/>
    </row>
    <row r="351">
      <c r="A351" s="103"/>
      <c r="B351" s="9"/>
      <c r="C351" s="9"/>
    </row>
    <row r="352">
      <c r="A352" s="103"/>
      <c r="B352" s="9"/>
      <c r="C352" s="9"/>
    </row>
    <row r="353">
      <c r="A353" s="103"/>
      <c r="B353" s="9"/>
      <c r="C353" s="9"/>
    </row>
    <row r="354">
      <c r="A354" s="103"/>
      <c r="B354" s="9"/>
      <c r="C354" s="9"/>
    </row>
    <row r="355">
      <c r="A355" s="103"/>
      <c r="B355" s="9"/>
      <c r="C355" s="9"/>
    </row>
    <row r="356">
      <c r="A356" s="103"/>
      <c r="B356" s="9"/>
      <c r="C356" s="9"/>
    </row>
    <row r="357">
      <c r="A357" s="103"/>
      <c r="B357" s="9"/>
      <c r="C357" s="9"/>
    </row>
    <row r="358">
      <c r="A358" s="103"/>
      <c r="B358" s="9"/>
      <c r="C358" s="9"/>
    </row>
    <row r="359">
      <c r="A359" s="103"/>
      <c r="B359" s="9"/>
      <c r="C359" s="9"/>
    </row>
    <row r="360">
      <c r="A360" s="103"/>
      <c r="B360" s="9"/>
      <c r="C360" s="9"/>
    </row>
    <row r="361">
      <c r="A361" s="103"/>
      <c r="B361" s="9"/>
      <c r="C361" s="9"/>
    </row>
    <row r="362">
      <c r="A362" s="103"/>
      <c r="B362" s="9"/>
      <c r="C362" s="9"/>
    </row>
    <row r="363">
      <c r="A363" s="103"/>
      <c r="B363" s="9"/>
      <c r="C363" s="9"/>
    </row>
    <row r="364">
      <c r="A364" s="103"/>
      <c r="B364" s="9"/>
      <c r="C364" s="9"/>
    </row>
    <row r="365">
      <c r="A365" s="103"/>
      <c r="B365" s="9"/>
      <c r="C365" s="9"/>
    </row>
    <row r="366">
      <c r="A366" s="103"/>
      <c r="B366" s="9"/>
      <c r="C366" s="9"/>
    </row>
    <row r="367">
      <c r="A367" s="103"/>
      <c r="B367" s="9"/>
      <c r="C367" s="9"/>
    </row>
    <row r="368">
      <c r="A368" s="103"/>
      <c r="B368" s="9"/>
      <c r="C368" s="9"/>
    </row>
    <row r="369">
      <c r="A369" s="103"/>
      <c r="B369" s="9"/>
      <c r="C369" s="9"/>
    </row>
    <row r="370">
      <c r="A370" s="103"/>
      <c r="B370" s="9"/>
      <c r="C370" s="9"/>
    </row>
    <row r="371">
      <c r="A371" s="103"/>
      <c r="B371" s="9"/>
      <c r="C371" s="9"/>
    </row>
    <row r="372">
      <c r="A372" s="103"/>
      <c r="B372" s="9"/>
      <c r="C372" s="9"/>
    </row>
    <row r="373">
      <c r="A373" s="103"/>
      <c r="B373" s="9"/>
      <c r="C373" s="9"/>
    </row>
    <row r="374">
      <c r="A374" s="103"/>
      <c r="B374" s="9"/>
      <c r="C374" s="9"/>
    </row>
    <row r="375">
      <c r="A375" s="103"/>
      <c r="B375" s="9"/>
      <c r="C375" s="9"/>
    </row>
    <row r="376">
      <c r="A376" s="103"/>
      <c r="B376" s="9"/>
      <c r="C376" s="9"/>
    </row>
    <row r="377">
      <c r="A377" s="103"/>
      <c r="B377" s="9"/>
      <c r="C377" s="9"/>
    </row>
    <row r="378">
      <c r="A378" s="103"/>
      <c r="B378" s="9"/>
      <c r="C378" s="9"/>
    </row>
    <row r="379">
      <c r="A379" s="103"/>
      <c r="B379" s="9"/>
      <c r="C379" s="9"/>
    </row>
    <row r="380">
      <c r="A380" s="103"/>
      <c r="B380" s="9"/>
      <c r="C380" s="9"/>
    </row>
    <row r="381">
      <c r="A381" s="103"/>
      <c r="B381" s="9"/>
      <c r="C381" s="9"/>
    </row>
    <row r="382">
      <c r="A382" s="103"/>
      <c r="B382" s="9"/>
      <c r="C382" s="9"/>
    </row>
    <row r="383">
      <c r="A383" s="103"/>
      <c r="B383" s="9"/>
      <c r="C383" s="9"/>
    </row>
    <row r="384">
      <c r="A384" s="103"/>
      <c r="B384" s="9"/>
      <c r="C384" s="9"/>
    </row>
    <row r="385">
      <c r="A385" s="103"/>
      <c r="B385" s="9"/>
      <c r="C385" s="9"/>
    </row>
    <row r="386">
      <c r="A386" s="103"/>
      <c r="B386" s="9"/>
      <c r="C386" s="9"/>
    </row>
    <row r="387">
      <c r="A387" s="103"/>
      <c r="B387" s="9"/>
      <c r="C387" s="9"/>
    </row>
    <row r="388">
      <c r="A388" s="103"/>
      <c r="B388" s="9"/>
      <c r="C388" s="9"/>
    </row>
    <row r="389">
      <c r="A389" s="103"/>
      <c r="B389" s="9"/>
      <c r="C389" s="9"/>
    </row>
    <row r="390">
      <c r="A390" s="103"/>
      <c r="B390" s="9"/>
      <c r="C390" s="9"/>
    </row>
    <row r="391">
      <c r="A391" s="103"/>
      <c r="B391" s="9"/>
      <c r="C391" s="9"/>
    </row>
    <row r="392">
      <c r="A392" s="103"/>
      <c r="B392" s="9"/>
      <c r="C392" s="9"/>
    </row>
    <row r="393">
      <c r="A393" s="103"/>
      <c r="B393" s="9"/>
      <c r="C393" s="9"/>
    </row>
    <row r="394">
      <c r="A394" s="103"/>
      <c r="B394" s="9"/>
      <c r="C394" s="9"/>
    </row>
    <row r="395">
      <c r="A395" s="103"/>
      <c r="B395" s="9"/>
      <c r="C395" s="9"/>
    </row>
    <row r="396">
      <c r="A396" s="103"/>
      <c r="B396" s="9"/>
      <c r="C396" s="9"/>
    </row>
    <row r="397">
      <c r="A397" s="103"/>
      <c r="B397" s="9"/>
      <c r="C397" s="9"/>
    </row>
    <row r="398">
      <c r="A398" s="103"/>
      <c r="B398" s="9"/>
      <c r="C398" s="9"/>
    </row>
    <row r="399">
      <c r="A399" s="103"/>
      <c r="B399" s="9"/>
      <c r="C399" s="9"/>
    </row>
    <row r="400">
      <c r="A400" s="103"/>
      <c r="B400" s="9"/>
      <c r="C400" s="9"/>
    </row>
    <row r="401">
      <c r="A401" s="103"/>
      <c r="B401" s="9"/>
      <c r="C401" s="9"/>
    </row>
    <row r="402">
      <c r="A402" s="103"/>
      <c r="B402" s="9"/>
      <c r="C402" s="9"/>
    </row>
    <row r="403">
      <c r="A403" s="103"/>
      <c r="B403" s="9"/>
      <c r="C403" s="9"/>
    </row>
    <row r="404">
      <c r="A404" s="103"/>
      <c r="B404" s="9"/>
      <c r="C404" s="9"/>
    </row>
    <row r="405">
      <c r="A405" s="103"/>
      <c r="B405" s="9"/>
      <c r="C405" s="9"/>
    </row>
    <row r="406">
      <c r="A406" s="103"/>
      <c r="B406" s="9"/>
      <c r="C406" s="9"/>
    </row>
    <row r="407">
      <c r="A407" s="103"/>
      <c r="B407" s="9"/>
      <c r="C407" s="9"/>
    </row>
    <row r="408">
      <c r="A408" s="103"/>
      <c r="B408" s="9"/>
      <c r="C408" s="9"/>
    </row>
    <row r="409">
      <c r="A409" s="103"/>
      <c r="B409" s="9"/>
      <c r="C409" s="9"/>
    </row>
    <row r="410">
      <c r="A410" s="103"/>
      <c r="B410" s="9"/>
      <c r="C410" s="9"/>
    </row>
    <row r="411">
      <c r="A411" s="103"/>
      <c r="B411" s="9"/>
      <c r="C411" s="9"/>
    </row>
    <row r="412">
      <c r="A412" s="103"/>
      <c r="B412" s="9"/>
      <c r="C412" s="9"/>
    </row>
    <row r="413">
      <c r="A413" s="103"/>
      <c r="B413" s="9"/>
      <c r="C413" s="9"/>
    </row>
    <row r="414">
      <c r="A414" s="103"/>
      <c r="B414" s="9"/>
      <c r="C414" s="9"/>
    </row>
    <row r="415">
      <c r="A415" s="103"/>
      <c r="B415" s="9"/>
      <c r="C415" s="9"/>
    </row>
    <row r="416">
      <c r="A416" s="103"/>
      <c r="B416" s="9"/>
      <c r="C416" s="9"/>
    </row>
    <row r="417">
      <c r="A417" s="103"/>
      <c r="B417" s="9"/>
      <c r="C417" s="9"/>
    </row>
    <row r="418">
      <c r="A418" s="103"/>
      <c r="B418" s="9"/>
      <c r="C418" s="9"/>
    </row>
    <row r="419">
      <c r="A419" s="103"/>
      <c r="B419" s="9"/>
      <c r="C419" s="9"/>
    </row>
    <row r="420">
      <c r="A420" s="103"/>
      <c r="B420" s="9"/>
      <c r="C420" s="9"/>
    </row>
    <row r="421">
      <c r="A421" s="103"/>
      <c r="B421" s="9"/>
      <c r="C421" s="9"/>
    </row>
    <row r="422">
      <c r="A422" s="103"/>
      <c r="B422" s="9"/>
      <c r="C422" s="9"/>
    </row>
    <row r="423">
      <c r="A423" s="103"/>
      <c r="B423" s="9"/>
      <c r="C423" s="9"/>
    </row>
    <row r="424">
      <c r="A424" s="103"/>
      <c r="B424" s="9"/>
      <c r="C424" s="9"/>
    </row>
    <row r="425">
      <c r="A425" s="103"/>
      <c r="B425" s="9"/>
      <c r="C425" s="9"/>
    </row>
    <row r="426">
      <c r="A426" s="103"/>
      <c r="B426" s="9"/>
      <c r="C426" s="9"/>
    </row>
    <row r="427">
      <c r="A427" s="103"/>
      <c r="B427" s="9"/>
      <c r="C427" s="9"/>
    </row>
    <row r="428">
      <c r="A428" s="103"/>
      <c r="B428" s="9"/>
      <c r="C428" s="9"/>
    </row>
    <row r="429">
      <c r="A429" s="103"/>
      <c r="B429" s="9"/>
      <c r="C429" s="9"/>
    </row>
    <row r="430">
      <c r="A430" s="103"/>
      <c r="B430" s="9"/>
      <c r="C430" s="9"/>
    </row>
    <row r="431">
      <c r="A431" s="103"/>
      <c r="B431" s="9"/>
      <c r="C431" s="9"/>
    </row>
    <row r="432">
      <c r="A432" s="103"/>
      <c r="B432" s="9"/>
      <c r="C432" s="9"/>
    </row>
    <row r="433">
      <c r="A433" s="103"/>
      <c r="B433" s="9"/>
      <c r="C433" s="9"/>
    </row>
    <row r="434">
      <c r="A434" s="103"/>
      <c r="B434" s="9"/>
      <c r="C434" s="9"/>
    </row>
    <row r="435">
      <c r="A435" s="103"/>
      <c r="B435" s="9"/>
      <c r="C435" s="9"/>
    </row>
    <row r="436">
      <c r="A436" s="103"/>
      <c r="B436" s="9"/>
      <c r="C436" s="9"/>
    </row>
    <row r="437">
      <c r="A437" s="103"/>
      <c r="B437" s="9"/>
      <c r="C437" s="9"/>
    </row>
    <row r="438">
      <c r="A438" s="103"/>
      <c r="B438" s="9"/>
      <c r="C438" s="9"/>
    </row>
    <row r="439">
      <c r="A439" s="103"/>
      <c r="B439" s="9"/>
      <c r="C439" s="9"/>
    </row>
    <row r="440">
      <c r="A440" s="103"/>
      <c r="B440" s="9"/>
      <c r="C440" s="9"/>
    </row>
    <row r="441">
      <c r="A441" s="103"/>
      <c r="B441" s="9"/>
      <c r="C441" s="9"/>
    </row>
    <row r="442">
      <c r="A442" s="103"/>
      <c r="B442" s="9"/>
      <c r="C442" s="9"/>
    </row>
    <row r="443">
      <c r="A443" s="103"/>
      <c r="B443" s="9"/>
      <c r="C443" s="9"/>
    </row>
    <row r="444">
      <c r="A444" s="103"/>
      <c r="B444" s="9"/>
      <c r="C444" s="9"/>
    </row>
    <row r="445">
      <c r="A445" s="103"/>
      <c r="B445" s="9"/>
      <c r="C445" s="9"/>
    </row>
    <row r="446">
      <c r="A446" s="103"/>
      <c r="B446" s="9"/>
      <c r="C446" s="9"/>
    </row>
    <row r="447">
      <c r="A447" s="103"/>
      <c r="B447" s="9"/>
      <c r="C447" s="9"/>
    </row>
    <row r="448">
      <c r="A448" s="103"/>
      <c r="B448" s="9"/>
      <c r="C448" s="9"/>
    </row>
    <row r="449">
      <c r="A449" s="103"/>
      <c r="B449" s="9"/>
      <c r="C449" s="9"/>
    </row>
    <row r="450">
      <c r="A450" s="103"/>
      <c r="B450" s="9"/>
      <c r="C450" s="9"/>
    </row>
    <row r="451">
      <c r="A451" s="103"/>
      <c r="B451" s="9"/>
      <c r="C451" s="9"/>
    </row>
    <row r="452">
      <c r="A452" s="103"/>
      <c r="B452" s="9"/>
      <c r="C452" s="9"/>
    </row>
    <row r="453">
      <c r="A453" s="103"/>
      <c r="B453" s="9"/>
      <c r="C453" s="9"/>
    </row>
    <row r="454">
      <c r="A454" s="103"/>
      <c r="B454" s="9"/>
      <c r="C454" s="9"/>
    </row>
    <row r="455">
      <c r="A455" s="103"/>
      <c r="B455" s="9"/>
      <c r="C455" s="9"/>
    </row>
    <row r="456">
      <c r="A456" s="103"/>
      <c r="B456" s="9"/>
      <c r="C456" s="9"/>
    </row>
    <row r="457">
      <c r="A457" s="103"/>
      <c r="B457" s="9"/>
      <c r="C457" s="9"/>
    </row>
    <row r="458">
      <c r="A458" s="103"/>
      <c r="B458" s="9"/>
      <c r="C458" s="9"/>
    </row>
    <row r="459">
      <c r="A459" s="103"/>
      <c r="B459" s="9"/>
      <c r="C459" s="9"/>
    </row>
    <row r="460">
      <c r="A460" s="103"/>
      <c r="B460" s="9"/>
      <c r="C460" s="9"/>
    </row>
    <row r="461">
      <c r="A461" s="103"/>
      <c r="B461" s="9"/>
      <c r="C461" s="9"/>
    </row>
    <row r="462">
      <c r="A462" s="103"/>
      <c r="B462" s="9"/>
      <c r="C462" s="9"/>
    </row>
    <row r="463">
      <c r="A463" s="103"/>
      <c r="B463" s="9"/>
      <c r="C463" s="9"/>
    </row>
    <row r="464">
      <c r="A464" s="103"/>
      <c r="B464" s="9"/>
      <c r="C464" s="9"/>
    </row>
    <row r="465">
      <c r="A465" s="103"/>
      <c r="B465" s="9"/>
      <c r="C465" s="9"/>
    </row>
    <row r="466">
      <c r="A466" s="103"/>
      <c r="B466" s="9"/>
      <c r="C466" s="9"/>
    </row>
    <row r="467">
      <c r="A467" s="103"/>
      <c r="B467" s="9"/>
      <c r="C467" s="9"/>
    </row>
    <row r="468">
      <c r="A468" s="103"/>
      <c r="B468" s="9"/>
      <c r="C468" s="9"/>
    </row>
    <row r="469">
      <c r="A469" s="103"/>
      <c r="B469" s="9"/>
      <c r="C469" s="9"/>
    </row>
    <row r="470">
      <c r="A470" s="103"/>
      <c r="B470" s="9"/>
      <c r="C470" s="9"/>
    </row>
    <row r="471">
      <c r="A471" s="103"/>
      <c r="B471" s="9"/>
      <c r="C471" s="9"/>
    </row>
    <row r="472">
      <c r="A472" s="103"/>
      <c r="B472" s="9"/>
      <c r="C472" s="9"/>
    </row>
    <row r="473">
      <c r="A473" s="103"/>
      <c r="B473" s="9"/>
      <c r="C473" s="9"/>
    </row>
    <row r="474">
      <c r="A474" s="103"/>
      <c r="B474" s="9"/>
      <c r="C474" s="9"/>
    </row>
    <row r="475">
      <c r="A475" s="103"/>
      <c r="B475" s="9"/>
      <c r="C475" s="9"/>
    </row>
    <row r="476">
      <c r="A476" s="103"/>
      <c r="B476" s="9"/>
      <c r="C476" s="9"/>
    </row>
    <row r="477">
      <c r="A477" s="103"/>
      <c r="B477" s="9"/>
      <c r="C477" s="9"/>
    </row>
    <row r="478">
      <c r="A478" s="103"/>
      <c r="B478" s="9"/>
      <c r="C478" s="9"/>
    </row>
    <row r="479">
      <c r="A479" s="103"/>
      <c r="B479" s="9"/>
      <c r="C479" s="9"/>
    </row>
    <row r="480">
      <c r="A480" s="103"/>
      <c r="B480" s="9"/>
      <c r="C480" s="9"/>
    </row>
    <row r="481">
      <c r="A481" s="103"/>
      <c r="B481" s="9"/>
      <c r="C481" s="9"/>
    </row>
    <row r="482">
      <c r="A482" s="103"/>
      <c r="B482" s="9"/>
      <c r="C482" s="9"/>
    </row>
    <row r="483">
      <c r="A483" s="103"/>
      <c r="B483" s="9"/>
      <c r="C483" s="9"/>
    </row>
    <row r="484">
      <c r="A484" s="103"/>
      <c r="B484" s="9"/>
      <c r="C484" s="9"/>
    </row>
    <row r="485">
      <c r="A485" s="103"/>
      <c r="B485" s="9"/>
      <c r="C485" s="9"/>
    </row>
    <row r="486">
      <c r="A486" s="103"/>
      <c r="B486" s="9"/>
      <c r="C486" s="9"/>
    </row>
    <row r="487">
      <c r="A487" s="103"/>
      <c r="B487" s="9"/>
      <c r="C487" s="9"/>
    </row>
    <row r="488">
      <c r="A488" s="103"/>
      <c r="B488" s="9"/>
      <c r="C488" s="9"/>
    </row>
    <row r="489">
      <c r="A489" s="103"/>
      <c r="B489" s="9"/>
      <c r="C489" s="9"/>
    </row>
    <row r="490">
      <c r="A490" s="103"/>
      <c r="B490" s="9"/>
      <c r="C490" s="9"/>
    </row>
    <row r="491">
      <c r="A491" s="103"/>
      <c r="B491" s="9"/>
      <c r="C491" s="9"/>
    </row>
    <row r="492">
      <c r="A492" s="103"/>
      <c r="B492" s="9"/>
      <c r="C492" s="9"/>
    </row>
    <row r="493">
      <c r="A493" s="103"/>
      <c r="B493" s="9"/>
      <c r="C493" s="9"/>
    </row>
    <row r="494">
      <c r="A494" s="103"/>
      <c r="B494" s="9"/>
      <c r="C494" s="9"/>
    </row>
    <row r="495">
      <c r="A495" s="103"/>
      <c r="B495" s="9"/>
      <c r="C495" s="9"/>
    </row>
    <row r="496">
      <c r="A496" s="103"/>
      <c r="B496" s="9"/>
      <c r="C496" s="9"/>
    </row>
    <row r="497">
      <c r="A497" s="103"/>
      <c r="B497" s="9"/>
      <c r="C497" s="9"/>
    </row>
    <row r="498">
      <c r="A498" s="103"/>
      <c r="B498" s="9"/>
      <c r="C498" s="9"/>
    </row>
    <row r="499">
      <c r="A499" s="103"/>
      <c r="B499" s="9"/>
      <c r="C499" s="9"/>
    </row>
    <row r="500">
      <c r="A500" s="103"/>
      <c r="B500" s="9"/>
      <c r="C500" s="9"/>
    </row>
    <row r="501">
      <c r="A501" s="103"/>
      <c r="B501" s="9"/>
      <c r="C501" s="9"/>
    </row>
    <row r="502">
      <c r="A502" s="103"/>
      <c r="B502" s="9"/>
      <c r="C502" s="9"/>
    </row>
    <row r="503">
      <c r="A503" s="103"/>
      <c r="B503" s="9"/>
      <c r="C503" s="9"/>
    </row>
    <row r="504">
      <c r="A504" s="103"/>
      <c r="B504" s="9"/>
      <c r="C504" s="9"/>
    </row>
    <row r="505">
      <c r="A505" s="103"/>
      <c r="B505" s="9"/>
      <c r="C505" s="9"/>
    </row>
    <row r="506">
      <c r="A506" s="103"/>
      <c r="B506" s="9"/>
      <c r="C506" s="9"/>
    </row>
    <row r="507">
      <c r="A507" s="103"/>
      <c r="B507" s="9"/>
      <c r="C507" s="9"/>
    </row>
    <row r="508">
      <c r="A508" s="103"/>
      <c r="B508" s="9"/>
      <c r="C508" s="9"/>
    </row>
    <row r="509">
      <c r="A509" s="103"/>
      <c r="B509" s="9"/>
      <c r="C509" s="9"/>
    </row>
    <row r="510">
      <c r="A510" s="103"/>
      <c r="B510" s="9"/>
      <c r="C510" s="9"/>
    </row>
    <row r="511">
      <c r="A511" s="103"/>
      <c r="B511" s="9"/>
      <c r="C511" s="9"/>
    </row>
    <row r="512">
      <c r="A512" s="103"/>
      <c r="B512" s="9"/>
      <c r="C512" s="9"/>
    </row>
    <row r="513">
      <c r="A513" s="103"/>
      <c r="B513" s="9"/>
      <c r="C513" s="9"/>
    </row>
    <row r="514">
      <c r="A514" s="103"/>
      <c r="B514" s="9"/>
      <c r="C514" s="9"/>
    </row>
    <row r="515">
      <c r="A515" s="103"/>
      <c r="B515" s="9"/>
      <c r="C515" s="9"/>
    </row>
    <row r="516">
      <c r="A516" s="103"/>
      <c r="B516" s="9"/>
      <c r="C516" s="9"/>
    </row>
    <row r="517">
      <c r="A517" s="103"/>
      <c r="B517" s="9"/>
      <c r="C517" s="9"/>
    </row>
    <row r="518">
      <c r="A518" s="103"/>
      <c r="B518" s="9"/>
      <c r="C518" s="9"/>
    </row>
    <row r="519">
      <c r="A519" s="103"/>
      <c r="B519" s="9"/>
      <c r="C519" s="9"/>
    </row>
    <row r="520">
      <c r="A520" s="103"/>
      <c r="B520" s="9"/>
      <c r="C520" s="9"/>
    </row>
    <row r="521">
      <c r="A521" s="103"/>
      <c r="B521" s="9"/>
      <c r="C521" s="9"/>
    </row>
    <row r="522">
      <c r="A522" s="103"/>
      <c r="B522" s="9"/>
      <c r="C522" s="9"/>
    </row>
    <row r="523">
      <c r="A523" s="103"/>
      <c r="B523" s="9"/>
      <c r="C523" s="9"/>
    </row>
    <row r="524">
      <c r="A524" s="103"/>
      <c r="B524" s="9"/>
      <c r="C524" s="9"/>
    </row>
    <row r="525">
      <c r="A525" s="103"/>
      <c r="B525" s="9"/>
      <c r="C525" s="9"/>
    </row>
    <row r="526">
      <c r="A526" s="103"/>
      <c r="B526" s="9"/>
      <c r="C526" s="9"/>
    </row>
    <row r="527">
      <c r="A527" s="103"/>
      <c r="B527" s="9"/>
      <c r="C527" s="9"/>
    </row>
    <row r="528">
      <c r="A528" s="103"/>
      <c r="B528" s="9"/>
      <c r="C528" s="9"/>
    </row>
    <row r="529">
      <c r="A529" s="103"/>
      <c r="B529" s="9"/>
      <c r="C529" s="9"/>
    </row>
    <row r="530">
      <c r="A530" s="103"/>
      <c r="B530" s="9"/>
      <c r="C530" s="9"/>
    </row>
    <row r="531">
      <c r="A531" s="103"/>
      <c r="B531" s="9"/>
      <c r="C531" s="9"/>
    </row>
    <row r="532">
      <c r="A532" s="103"/>
      <c r="B532" s="9"/>
      <c r="C532" s="9"/>
    </row>
    <row r="533">
      <c r="A533" s="103"/>
      <c r="B533" s="9"/>
      <c r="C533" s="9"/>
    </row>
    <row r="534">
      <c r="A534" s="103"/>
      <c r="B534" s="9"/>
      <c r="C534" s="9"/>
    </row>
    <row r="535">
      <c r="A535" s="103"/>
      <c r="B535" s="9"/>
      <c r="C535" s="9"/>
    </row>
    <row r="536">
      <c r="A536" s="103"/>
      <c r="B536" s="9"/>
      <c r="C536" s="9"/>
    </row>
    <row r="537">
      <c r="A537" s="103"/>
      <c r="B537" s="9"/>
      <c r="C537" s="9"/>
    </row>
    <row r="538">
      <c r="A538" s="103"/>
      <c r="B538" s="9"/>
      <c r="C538" s="9"/>
    </row>
    <row r="539">
      <c r="A539" s="103"/>
      <c r="B539" s="9"/>
      <c r="C539" s="9"/>
    </row>
    <row r="540">
      <c r="A540" s="103"/>
      <c r="B540" s="9"/>
      <c r="C540" s="9"/>
    </row>
    <row r="541">
      <c r="A541" s="103"/>
      <c r="B541" s="9"/>
      <c r="C541" s="9"/>
    </row>
    <row r="542">
      <c r="A542" s="103"/>
      <c r="B542" s="9"/>
      <c r="C542" s="9"/>
    </row>
    <row r="543">
      <c r="A543" s="103"/>
      <c r="B543" s="9"/>
      <c r="C543" s="9"/>
    </row>
    <row r="544">
      <c r="A544" s="103"/>
      <c r="B544" s="9"/>
      <c r="C544" s="9"/>
    </row>
    <row r="545">
      <c r="A545" s="103"/>
      <c r="B545" s="9"/>
      <c r="C545" s="9"/>
    </row>
    <row r="546">
      <c r="A546" s="103"/>
      <c r="B546" s="9"/>
      <c r="C546" s="9"/>
    </row>
    <row r="547">
      <c r="A547" s="103"/>
      <c r="B547" s="9"/>
      <c r="C547" s="9"/>
    </row>
    <row r="548">
      <c r="A548" s="103"/>
      <c r="B548" s="9"/>
      <c r="C548" s="9"/>
    </row>
    <row r="549">
      <c r="A549" s="103"/>
      <c r="B549" s="9"/>
      <c r="C549" s="9"/>
    </row>
    <row r="550">
      <c r="A550" s="103"/>
      <c r="B550" s="9"/>
      <c r="C550" s="9"/>
    </row>
    <row r="551">
      <c r="A551" s="103"/>
      <c r="B551" s="9"/>
      <c r="C551" s="9"/>
    </row>
    <row r="552">
      <c r="A552" s="103"/>
      <c r="B552" s="9"/>
      <c r="C552" s="9"/>
    </row>
    <row r="553">
      <c r="A553" s="103"/>
      <c r="B553" s="9"/>
      <c r="C553" s="9"/>
    </row>
    <row r="554">
      <c r="A554" s="103"/>
      <c r="B554" s="9"/>
      <c r="C554" s="9"/>
    </row>
    <row r="555">
      <c r="A555" s="103"/>
      <c r="B555" s="9"/>
      <c r="C555" s="9"/>
    </row>
    <row r="556">
      <c r="A556" s="103"/>
      <c r="B556" s="9"/>
      <c r="C556" s="9"/>
    </row>
    <row r="557">
      <c r="A557" s="103"/>
      <c r="B557" s="9"/>
      <c r="C557" s="9"/>
    </row>
    <row r="558">
      <c r="A558" s="103"/>
      <c r="B558" s="9"/>
      <c r="C558" s="9"/>
    </row>
    <row r="559">
      <c r="A559" s="103"/>
      <c r="B559" s="9"/>
      <c r="C559" s="9"/>
    </row>
    <row r="560">
      <c r="A560" s="103"/>
      <c r="B560" s="9"/>
      <c r="C560" s="9"/>
    </row>
    <row r="561">
      <c r="A561" s="103"/>
      <c r="B561" s="9"/>
      <c r="C561" s="9"/>
    </row>
    <row r="562">
      <c r="A562" s="103"/>
      <c r="B562" s="9"/>
      <c r="C562" s="9"/>
    </row>
    <row r="563">
      <c r="A563" s="103"/>
      <c r="B563" s="9"/>
      <c r="C563" s="9"/>
    </row>
    <row r="564">
      <c r="A564" s="103"/>
      <c r="B564" s="9"/>
      <c r="C564" s="9"/>
    </row>
    <row r="565">
      <c r="A565" s="103"/>
      <c r="B565" s="9"/>
      <c r="C565" s="9"/>
    </row>
    <row r="566">
      <c r="A566" s="103"/>
      <c r="B566" s="9"/>
      <c r="C566" s="9"/>
    </row>
    <row r="567">
      <c r="A567" s="103"/>
      <c r="B567" s="9"/>
      <c r="C567" s="9"/>
    </row>
    <row r="568">
      <c r="A568" s="103"/>
      <c r="B568" s="9"/>
      <c r="C568" s="9"/>
    </row>
    <row r="569">
      <c r="A569" s="103"/>
      <c r="B569" s="9"/>
      <c r="C569" s="9"/>
    </row>
    <row r="570">
      <c r="A570" s="103"/>
      <c r="B570" s="9"/>
      <c r="C570" s="9"/>
    </row>
    <row r="571">
      <c r="A571" s="103"/>
      <c r="B571" s="9"/>
      <c r="C571" s="9"/>
    </row>
    <row r="572">
      <c r="A572" s="103"/>
      <c r="B572" s="9"/>
      <c r="C572" s="9"/>
    </row>
    <row r="573">
      <c r="A573" s="103"/>
      <c r="B573" s="9"/>
      <c r="C573" s="9"/>
    </row>
    <row r="574">
      <c r="A574" s="103"/>
      <c r="B574" s="9"/>
      <c r="C574" s="9"/>
    </row>
    <row r="575">
      <c r="A575" s="103"/>
      <c r="B575" s="9"/>
      <c r="C575" s="9"/>
    </row>
    <row r="576">
      <c r="A576" s="103"/>
      <c r="B576" s="9"/>
      <c r="C576" s="9"/>
    </row>
    <row r="577">
      <c r="A577" s="103"/>
      <c r="B577" s="9"/>
      <c r="C577" s="9"/>
    </row>
    <row r="578">
      <c r="A578" s="103"/>
      <c r="B578" s="9"/>
      <c r="C578" s="9"/>
    </row>
    <row r="579">
      <c r="A579" s="103"/>
      <c r="B579" s="9"/>
      <c r="C579" s="9"/>
    </row>
    <row r="580">
      <c r="A580" s="103"/>
      <c r="B580" s="9"/>
      <c r="C580" s="9"/>
    </row>
    <row r="581">
      <c r="A581" s="103"/>
      <c r="B581" s="9"/>
      <c r="C581" s="9"/>
    </row>
    <row r="582">
      <c r="A582" s="103"/>
      <c r="B582" s="9"/>
      <c r="C582" s="9"/>
    </row>
    <row r="583">
      <c r="A583" s="103"/>
      <c r="B583" s="9"/>
      <c r="C583" s="9"/>
    </row>
    <row r="584">
      <c r="A584" s="103"/>
      <c r="B584" s="9"/>
      <c r="C584" s="9"/>
    </row>
    <row r="585">
      <c r="A585" s="103"/>
      <c r="B585" s="9"/>
      <c r="C585" s="9"/>
    </row>
    <row r="586">
      <c r="A586" s="103"/>
      <c r="B586" s="9"/>
      <c r="C586" s="9"/>
    </row>
    <row r="587">
      <c r="A587" s="103"/>
      <c r="B587" s="9"/>
      <c r="C587" s="9"/>
    </row>
    <row r="588">
      <c r="A588" s="103"/>
      <c r="B588" s="9"/>
      <c r="C588" s="9"/>
    </row>
    <row r="589">
      <c r="A589" s="103"/>
      <c r="B589" s="9"/>
      <c r="C589" s="9"/>
    </row>
    <row r="590">
      <c r="A590" s="103"/>
      <c r="B590" s="9"/>
      <c r="C590" s="9"/>
    </row>
    <row r="591">
      <c r="A591" s="103"/>
      <c r="B591" s="9"/>
      <c r="C591" s="9"/>
    </row>
    <row r="592">
      <c r="A592" s="103"/>
      <c r="B592" s="9"/>
      <c r="C592" s="9"/>
    </row>
    <row r="593">
      <c r="A593" s="103"/>
      <c r="B593" s="9"/>
      <c r="C593" s="9"/>
    </row>
    <row r="594">
      <c r="A594" s="103"/>
      <c r="B594" s="9"/>
      <c r="C594" s="9"/>
    </row>
    <row r="595">
      <c r="A595" s="103"/>
      <c r="B595" s="9"/>
      <c r="C595" s="9"/>
    </row>
    <row r="596">
      <c r="A596" s="103"/>
      <c r="B596" s="9"/>
      <c r="C596" s="9"/>
    </row>
    <row r="597">
      <c r="A597" s="103"/>
      <c r="B597" s="9"/>
      <c r="C597" s="9"/>
    </row>
    <row r="598">
      <c r="A598" s="103"/>
      <c r="B598" s="9"/>
      <c r="C598" s="9"/>
    </row>
    <row r="599">
      <c r="A599" s="103"/>
      <c r="B599" s="9"/>
      <c r="C599" s="9"/>
    </row>
    <row r="600">
      <c r="A600" s="103"/>
      <c r="B600" s="9"/>
      <c r="C600" s="9"/>
    </row>
    <row r="601">
      <c r="A601" s="103"/>
      <c r="B601" s="9"/>
      <c r="C601" s="9"/>
    </row>
    <row r="602">
      <c r="A602" s="103"/>
      <c r="B602" s="9"/>
      <c r="C602" s="9"/>
    </row>
    <row r="603">
      <c r="A603" s="103"/>
      <c r="B603" s="9"/>
      <c r="C603" s="9"/>
    </row>
    <row r="604">
      <c r="A604" s="103"/>
      <c r="B604" s="9"/>
      <c r="C604" s="9"/>
    </row>
    <row r="605">
      <c r="A605" s="103"/>
      <c r="B605" s="9"/>
      <c r="C605" s="9"/>
    </row>
    <row r="606">
      <c r="A606" s="103"/>
      <c r="B606" s="9"/>
      <c r="C606" s="9"/>
    </row>
    <row r="607">
      <c r="A607" s="103"/>
      <c r="B607" s="9"/>
      <c r="C607" s="9"/>
    </row>
    <row r="608">
      <c r="A608" s="103"/>
      <c r="B608" s="9"/>
      <c r="C608" s="9"/>
    </row>
    <row r="609">
      <c r="A609" s="103"/>
      <c r="B609" s="9"/>
      <c r="C609" s="9"/>
    </row>
    <row r="610">
      <c r="A610" s="103"/>
      <c r="B610" s="9"/>
      <c r="C610" s="9"/>
    </row>
    <row r="611">
      <c r="A611" s="103"/>
      <c r="B611" s="9"/>
      <c r="C611" s="9"/>
    </row>
    <row r="612">
      <c r="A612" s="103"/>
      <c r="B612" s="9"/>
      <c r="C612" s="9"/>
    </row>
    <row r="613">
      <c r="A613" s="103"/>
      <c r="B613" s="9"/>
      <c r="C613" s="9"/>
    </row>
    <row r="614">
      <c r="A614" s="103"/>
      <c r="B614" s="9"/>
      <c r="C614" s="9"/>
    </row>
    <row r="615">
      <c r="A615" s="103"/>
      <c r="B615" s="9"/>
      <c r="C615" s="9"/>
    </row>
    <row r="616">
      <c r="A616" s="103"/>
      <c r="B616" s="9"/>
      <c r="C616" s="9"/>
    </row>
    <row r="617">
      <c r="A617" s="103"/>
      <c r="B617" s="9"/>
      <c r="C617" s="9"/>
    </row>
    <row r="618">
      <c r="A618" s="103"/>
      <c r="B618" s="9"/>
      <c r="C618" s="9"/>
    </row>
    <row r="619">
      <c r="A619" s="103"/>
      <c r="B619" s="9"/>
      <c r="C619" s="9"/>
    </row>
    <row r="620">
      <c r="A620" s="103"/>
      <c r="B620" s="9"/>
      <c r="C620" s="9"/>
    </row>
    <row r="621">
      <c r="A621" s="103"/>
      <c r="B621" s="9"/>
      <c r="C621" s="9"/>
    </row>
    <row r="622">
      <c r="A622" s="103"/>
      <c r="B622" s="9"/>
      <c r="C622" s="9"/>
    </row>
    <row r="623">
      <c r="A623" s="103"/>
      <c r="B623" s="9"/>
      <c r="C623" s="9"/>
    </row>
    <row r="624">
      <c r="A624" s="103"/>
      <c r="B624" s="9"/>
      <c r="C624" s="9"/>
    </row>
    <row r="625">
      <c r="A625" s="103"/>
      <c r="B625" s="9"/>
      <c r="C625" s="9"/>
    </row>
    <row r="626">
      <c r="A626" s="103"/>
      <c r="B626" s="9"/>
      <c r="C626" s="9"/>
    </row>
    <row r="627">
      <c r="A627" s="103"/>
      <c r="B627" s="9"/>
      <c r="C627" s="9"/>
    </row>
    <row r="628">
      <c r="A628" s="103"/>
      <c r="B628" s="9"/>
      <c r="C628" s="9"/>
    </row>
    <row r="629">
      <c r="A629" s="103"/>
      <c r="B629" s="9"/>
      <c r="C629" s="9"/>
    </row>
    <row r="630">
      <c r="A630" s="103"/>
      <c r="B630" s="9"/>
      <c r="C630" s="9"/>
    </row>
    <row r="631">
      <c r="A631" s="103"/>
      <c r="B631" s="9"/>
      <c r="C631" s="9"/>
    </row>
    <row r="632">
      <c r="A632" s="103"/>
      <c r="B632" s="9"/>
      <c r="C632" s="9"/>
    </row>
    <row r="633">
      <c r="A633" s="103"/>
      <c r="B633" s="9"/>
      <c r="C633" s="9"/>
    </row>
    <row r="634">
      <c r="A634" s="103"/>
      <c r="B634" s="9"/>
      <c r="C634" s="9"/>
    </row>
    <row r="635">
      <c r="A635" s="103"/>
      <c r="B635" s="9"/>
      <c r="C635" s="9"/>
    </row>
    <row r="636">
      <c r="A636" s="103"/>
      <c r="B636" s="9"/>
      <c r="C636" s="9"/>
    </row>
    <row r="637">
      <c r="A637" s="103"/>
      <c r="B637" s="9"/>
      <c r="C637" s="9"/>
    </row>
    <row r="638">
      <c r="A638" s="103"/>
      <c r="B638" s="9"/>
      <c r="C638" s="9"/>
    </row>
    <row r="639">
      <c r="A639" s="103"/>
      <c r="B639" s="9"/>
      <c r="C639" s="9"/>
    </row>
    <row r="640">
      <c r="A640" s="103"/>
      <c r="B640" s="9"/>
      <c r="C640" s="9"/>
    </row>
    <row r="641">
      <c r="A641" s="103"/>
      <c r="B641" s="9"/>
      <c r="C641" s="9"/>
    </row>
    <row r="642">
      <c r="A642" s="103"/>
      <c r="B642" s="9"/>
      <c r="C642" s="9"/>
    </row>
    <row r="643">
      <c r="A643" s="103"/>
      <c r="B643" s="9"/>
      <c r="C643" s="9"/>
    </row>
    <row r="644">
      <c r="A644" s="103"/>
      <c r="B644" s="9"/>
      <c r="C644" s="9"/>
    </row>
    <row r="645">
      <c r="A645" s="103"/>
      <c r="B645" s="9"/>
      <c r="C645" s="9"/>
    </row>
    <row r="646">
      <c r="A646" s="103"/>
      <c r="B646" s="9"/>
      <c r="C646" s="9"/>
    </row>
    <row r="647">
      <c r="A647" s="103"/>
      <c r="B647" s="9"/>
      <c r="C647" s="9"/>
    </row>
    <row r="648">
      <c r="A648" s="103"/>
      <c r="B648" s="9"/>
      <c r="C648" s="9"/>
    </row>
    <row r="649">
      <c r="A649" s="103"/>
      <c r="B649" s="9"/>
      <c r="C649" s="9"/>
    </row>
    <row r="650">
      <c r="A650" s="103"/>
      <c r="B650" s="9"/>
      <c r="C650" s="9"/>
    </row>
    <row r="651">
      <c r="A651" s="103"/>
      <c r="B651" s="9"/>
      <c r="C651" s="9"/>
    </row>
    <row r="652">
      <c r="A652" s="103"/>
      <c r="B652" s="9"/>
      <c r="C652" s="9"/>
    </row>
    <row r="653">
      <c r="A653" s="103"/>
      <c r="B653" s="9"/>
      <c r="C653" s="9"/>
    </row>
    <row r="654">
      <c r="A654" s="103"/>
      <c r="B654" s="9"/>
      <c r="C654" s="9"/>
    </row>
    <row r="655">
      <c r="A655" s="103"/>
      <c r="B655" s="9"/>
      <c r="C655" s="9"/>
    </row>
    <row r="656">
      <c r="A656" s="103"/>
      <c r="B656" s="9"/>
      <c r="C656" s="9"/>
    </row>
    <row r="657">
      <c r="A657" s="103"/>
      <c r="B657" s="9"/>
      <c r="C657" s="9"/>
    </row>
    <row r="658">
      <c r="A658" s="103"/>
      <c r="B658" s="9"/>
      <c r="C658" s="9"/>
    </row>
    <row r="659">
      <c r="A659" s="103"/>
      <c r="B659" s="9"/>
      <c r="C659" s="9"/>
    </row>
    <row r="660">
      <c r="A660" s="103"/>
      <c r="B660" s="9"/>
      <c r="C660" s="9"/>
    </row>
    <row r="661">
      <c r="A661" s="103"/>
      <c r="B661" s="9"/>
      <c r="C661" s="9"/>
    </row>
    <row r="662">
      <c r="A662" s="103"/>
      <c r="B662" s="9"/>
      <c r="C662" s="9"/>
    </row>
    <row r="663">
      <c r="A663" s="103"/>
      <c r="B663" s="9"/>
      <c r="C663" s="9"/>
    </row>
    <row r="664">
      <c r="A664" s="103"/>
      <c r="B664" s="9"/>
      <c r="C664" s="9"/>
    </row>
    <row r="665">
      <c r="A665" s="103"/>
      <c r="B665" s="9"/>
      <c r="C665" s="9"/>
    </row>
    <row r="666">
      <c r="A666" s="103"/>
      <c r="B666" s="9"/>
      <c r="C666" s="9"/>
    </row>
    <row r="667">
      <c r="A667" s="103"/>
      <c r="B667" s="9"/>
      <c r="C667" s="9"/>
    </row>
    <row r="668">
      <c r="A668" s="103"/>
      <c r="B668" s="9"/>
      <c r="C668" s="9"/>
    </row>
    <row r="669">
      <c r="A669" s="103"/>
      <c r="B669" s="9"/>
      <c r="C669" s="9"/>
    </row>
    <row r="670">
      <c r="A670" s="103"/>
      <c r="B670" s="9"/>
      <c r="C670" s="9"/>
    </row>
    <row r="671">
      <c r="A671" s="103"/>
      <c r="B671" s="9"/>
      <c r="C671" s="9"/>
    </row>
    <row r="672">
      <c r="A672" s="103"/>
      <c r="B672" s="9"/>
      <c r="C672" s="9"/>
    </row>
    <row r="673">
      <c r="A673" s="103"/>
      <c r="B673" s="9"/>
      <c r="C673" s="9"/>
    </row>
    <row r="674">
      <c r="A674" s="103"/>
      <c r="B674" s="9"/>
      <c r="C674" s="9"/>
    </row>
    <row r="675">
      <c r="A675" s="103"/>
      <c r="B675" s="9"/>
      <c r="C675" s="9"/>
    </row>
    <row r="676">
      <c r="A676" s="103"/>
      <c r="B676" s="9"/>
      <c r="C676" s="9"/>
    </row>
    <row r="677">
      <c r="A677" s="103"/>
      <c r="B677" s="9"/>
      <c r="C677" s="9"/>
    </row>
    <row r="678">
      <c r="A678" s="103"/>
      <c r="B678" s="9"/>
      <c r="C678" s="9"/>
    </row>
    <row r="679">
      <c r="A679" s="103"/>
      <c r="B679" s="9"/>
      <c r="C679" s="9"/>
    </row>
    <row r="680">
      <c r="A680" s="103"/>
      <c r="B680" s="9"/>
      <c r="C680" s="9"/>
    </row>
    <row r="681">
      <c r="A681" s="103"/>
      <c r="B681" s="9"/>
      <c r="C681" s="9"/>
    </row>
    <row r="682">
      <c r="A682" s="103"/>
      <c r="B682" s="9"/>
      <c r="C682" s="9"/>
    </row>
    <row r="683">
      <c r="A683" s="103"/>
      <c r="B683" s="9"/>
      <c r="C683" s="9"/>
    </row>
    <row r="684">
      <c r="A684" s="103"/>
      <c r="B684" s="9"/>
      <c r="C684" s="9"/>
    </row>
    <row r="685">
      <c r="A685" s="103"/>
      <c r="B685" s="9"/>
      <c r="C685" s="9"/>
    </row>
    <row r="686">
      <c r="A686" s="103"/>
      <c r="B686" s="9"/>
      <c r="C686" s="9"/>
    </row>
    <row r="687">
      <c r="A687" s="103"/>
      <c r="B687" s="9"/>
      <c r="C687" s="9"/>
    </row>
    <row r="688">
      <c r="A688" s="103"/>
      <c r="B688" s="9"/>
      <c r="C688" s="9"/>
    </row>
    <row r="689">
      <c r="A689" s="103"/>
      <c r="B689" s="9"/>
      <c r="C689" s="9"/>
    </row>
    <row r="690">
      <c r="A690" s="103"/>
      <c r="B690" s="9"/>
      <c r="C690" s="9"/>
    </row>
    <row r="691">
      <c r="A691" s="103"/>
      <c r="B691" s="9"/>
      <c r="C691" s="9"/>
    </row>
    <row r="692">
      <c r="A692" s="103"/>
      <c r="B692" s="9"/>
      <c r="C692" s="9"/>
    </row>
    <row r="693">
      <c r="A693" s="103"/>
      <c r="B693" s="9"/>
      <c r="C693" s="9"/>
    </row>
    <row r="694">
      <c r="A694" s="103"/>
      <c r="B694" s="9"/>
      <c r="C694" s="9"/>
    </row>
    <row r="695">
      <c r="A695" s="103"/>
      <c r="B695" s="9"/>
      <c r="C695" s="9"/>
    </row>
    <row r="696">
      <c r="A696" s="103"/>
      <c r="B696" s="9"/>
      <c r="C696" s="9"/>
    </row>
    <row r="697">
      <c r="A697" s="103"/>
      <c r="B697" s="9"/>
      <c r="C697" s="9"/>
    </row>
    <row r="698">
      <c r="A698" s="103"/>
      <c r="B698" s="9"/>
      <c r="C698" s="9"/>
    </row>
    <row r="699">
      <c r="A699" s="103"/>
      <c r="B699" s="9"/>
      <c r="C699" s="9"/>
    </row>
    <row r="700">
      <c r="A700" s="103"/>
      <c r="B700" s="9"/>
      <c r="C700" s="9"/>
    </row>
    <row r="701">
      <c r="A701" s="103"/>
      <c r="B701" s="9"/>
      <c r="C701" s="9"/>
    </row>
    <row r="702">
      <c r="A702" s="103"/>
      <c r="B702" s="9"/>
      <c r="C702" s="9"/>
    </row>
    <row r="703">
      <c r="A703" s="103"/>
      <c r="B703" s="9"/>
      <c r="C703" s="9"/>
    </row>
    <row r="704">
      <c r="A704" s="103"/>
      <c r="B704" s="9"/>
      <c r="C704" s="9"/>
    </row>
    <row r="705">
      <c r="A705" s="103"/>
      <c r="B705" s="9"/>
      <c r="C705" s="9"/>
    </row>
    <row r="706">
      <c r="A706" s="103"/>
      <c r="B706" s="9"/>
      <c r="C706" s="9"/>
    </row>
    <row r="707">
      <c r="A707" s="103"/>
      <c r="B707" s="9"/>
      <c r="C707" s="9"/>
    </row>
    <row r="708">
      <c r="A708" s="103"/>
      <c r="B708" s="9"/>
      <c r="C708" s="9"/>
    </row>
    <row r="709">
      <c r="A709" s="103"/>
      <c r="B709" s="9"/>
      <c r="C709" s="9"/>
    </row>
    <row r="710">
      <c r="A710" s="103"/>
      <c r="B710" s="9"/>
      <c r="C710" s="9"/>
    </row>
    <row r="711">
      <c r="A711" s="103"/>
      <c r="B711" s="9"/>
      <c r="C711" s="9"/>
    </row>
    <row r="712">
      <c r="A712" s="103"/>
      <c r="B712" s="9"/>
      <c r="C712" s="9"/>
    </row>
    <row r="713">
      <c r="A713" s="103"/>
      <c r="B713" s="9"/>
      <c r="C713" s="9"/>
    </row>
    <row r="714">
      <c r="A714" s="103"/>
      <c r="B714" s="9"/>
      <c r="C714" s="9"/>
    </row>
    <row r="715">
      <c r="A715" s="103"/>
      <c r="B715" s="9"/>
      <c r="C715" s="9"/>
    </row>
    <row r="716">
      <c r="A716" s="103"/>
      <c r="B716" s="9"/>
      <c r="C716" s="9"/>
    </row>
    <row r="717">
      <c r="A717" s="103"/>
      <c r="B717" s="9"/>
      <c r="C717" s="9"/>
    </row>
    <row r="718">
      <c r="A718" s="103"/>
      <c r="B718" s="9"/>
      <c r="C718" s="9"/>
    </row>
    <row r="719">
      <c r="A719" s="103"/>
      <c r="B719" s="9"/>
      <c r="C719" s="9"/>
    </row>
    <row r="720">
      <c r="A720" s="103"/>
      <c r="B720" s="9"/>
      <c r="C720" s="9"/>
    </row>
    <row r="721">
      <c r="A721" s="103"/>
      <c r="B721" s="9"/>
      <c r="C721" s="9"/>
    </row>
    <row r="722">
      <c r="A722" s="103"/>
      <c r="B722" s="9"/>
      <c r="C722" s="9"/>
    </row>
    <row r="723">
      <c r="A723" s="103"/>
      <c r="B723" s="9"/>
      <c r="C723" s="9"/>
    </row>
    <row r="724">
      <c r="A724" s="103"/>
      <c r="B724" s="9"/>
      <c r="C724" s="9"/>
    </row>
    <row r="725">
      <c r="A725" s="103"/>
      <c r="B725" s="9"/>
      <c r="C725" s="9"/>
    </row>
    <row r="726">
      <c r="A726" s="103"/>
      <c r="B726" s="9"/>
      <c r="C726" s="9"/>
    </row>
    <row r="727">
      <c r="A727" s="103"/>
      <c r="B727" s="9"/>
      <c r="C727" s="9"/>
    </row>
    <row r="728">
      <c r="A728" s="103"/>
      <c r="B728" s="9"/>
      <c r="C728" s="9"/>
    </row>
    <row r="729">
      <c r="A729" s="103"/>
      <c r="B729" s="9"/>
      <c r="C729" s="9"/>
    </row>
    <row r="730">
      <c r="A730" s="103"/>
      <c r="B730" s="9"/>
      <c r="C730" s="9"/>
    </row>
    <row r="731">
      <c r="A731" s="103"/>
      <c r="B731" s="9"/>
      <c r="C731" s="9"/>
    </row>
    <row r="732">
      <c r="A732" s="103"/>
      <c r="B732" s="9"/>
      <c r="C732" s="9"/>
    </row>
    <row r="733">
      <c r="A733" s="103"/>
      <c r="B733" s="9"/>
      <c r="C733" s="9"/>
    </row>
    <row r="734">
      <c r="A734" s="103"/>
      <c r="B734" s="9"/>
      <c r="C734" s="9"/>
    </row>
    <row r="735">
      <c r="A735" s="103"/>
      <c r="B735" s="9"/>
      <c r="C735" s="9"/>
    </row>
    <row r="736">
      <c r="A736" s="103"/>
      <c r="B736" s="9"/>
      <c r="C736" s="9"/>
    </row>
    <row r="737">
      <c r="A737" s="103"/>
      <c r="B737" s="9"/>
      <c r="C737" s="9"/>
    </row>
    <row r="738">
      <c r="A738" s="103"/>
      <c r="B738" s="9"/>
      <c r="C738" s="9"/>
    </row>
    <row r="739">
      <c r="A739" s="103"/>
      <c r="B739" s="9"/>
      <c r="C739" s="9"/>
    </row>
    <row r="740">
      <c r="A740" s="103"/>
      <c r="B740" s="9"/>
      <c r="C740" s="9"/>
    </row>
    <row r="741">
      <c r="A741" s="103"/>
      <c r="B741" s="9"/>
      <c r="C741" s="9"/>
    </row>
    <row r="742">
      <c r="A742" s="103"/>
      <c r="B742" s="9"/>
      <c r="C742" s="9"/>
    </row>
    <row r="743">
      <c r="A743" s="103"/>
      <c r="B743" s="9"/>
      <c r="C743" s="9"/>
    </row>
    <row r="744">
      <c r="A744" s="103"/>
      <c r="B744" s="9"/>
      <c r="C744" s="9"/>
    </row>
    <row r="745">
      <c r="A745" s="103"/>
      <c r="B745" s="9"/>
      <c r="C745" s="9"/>
    </row>
    <row r="746">
      <c r="A746" s="103"/>
      <c r="B746" s="9"/>
      <c r="C746" s="9"/>
    </row>
    <row r="747">
      <c r="A747" s="103"/>
      <c r="B747" s="9"/>
      <c r="C747" s="9"/>
    </row>
    <row r="748">
      <c r="A748" s="103"/>
      <c r="B748" s="9"/>
      <c r="C748" s="9"/>
    </row>
    <row r="749">
      <c r="A749" s="103"/>
      <c r="B749" s="9"/>
      <c r="C749" s="9"/>
    </row>
    <row r="750">
      <c r="A750" s="103"/>
      <c r="B750" s="9"/>
      <c r="C750" s="9"/>
    </row>
    <row r="751">
      <c r="A751" s="103"/>
      <c r="B751" s="9"/>
      <c r="C751" s="9"/>
    </row>
    <row r="752">
      <c r="A752" s="103"/>
      <c r="B752" s="9"/>
      <c r="C752" s="9"/>
    </row>
    <row r="753">
      <c r="A753" s="103"/>
      <c r="B753" s="9"/>
      <c r="C753" s="9"/>
    </row>
    <row r="754">
      <c r="A754" s="103"/>
      <c r="B754" s="9"/>
      <c r="C754" s="9"/>
    </row>
    <row r="755">
      <c r="A755" s="103"/>
      <c r="B755" s="9"/>
      <c r="C755" s="9"/>
    </row>
    <row r="756">
      <c r="A756" s="103"/>
      <c r="B756" s="9"/>
      <c r="C756" s="9"/>
    </row>
    <row r="757">
      <c r="A757" s="103"/>
      <c r="B757" s="9"/>
      <c r="C757" s="9"/>
    </row>
    <row r="758">
      <c r="A758" s="103"/>
      <c r="B758" s="9"/>
      <c r="C758" s="9"/>
    </row>
    <row r="759">
      <c r="A759" s="103"/>
      <c r="B759" s="9"/>
      <c r="C759" s="9"/>
    </row>
    <row r="760">
      <c r="A760" s="103"/>
      <c r="B760" s="9"/>
      <c r="C760" s="9"/>
    </row>
    <row r="761">
      <c r="A761" s="103"/>
      <c r="B761" s="9"/>
      <c r="C761" s="9"/>
    </row>
    <row r="762">
      <c r="A762" s="103"/>
      <c r="B762" s="9"/>
      <c r="C762" s="9"/>
    </row>
    <row r="763">
      <c r="A763" s="103"/>
      <c r="B763" s="9"/>
      <c r="C763" s="9"/>
    </row>
    <row r="764">
      <c r="A764" s="103"/>
      <c r="B764" s="9"/>
      <c r="C764" s="9"/>
    </row>
    <row r="765">
      <c r="A765" s="103"/>
      <c r="B765" s="9"/>
      <c r="C765" s="9"/>
    </row>
    <row r="766">
      <c r="A766" s="103"/>
      <c r="B766" s="9"/>
      <c r="C766" s="9"/>
    </row>
    <row r="767">
      <c r="A767" s="103"/>
      <c r="B767" s="9"/>
      <c r="C767" s="9"/>
    </row>
    <row r="768">
      <c r="A768" s="103"/>
      <c r="B768" s="9"/>
      <c r="C768" s="9"/>
    </row>
    <row r="769">
      <c r="A769" s="103"/>
      <c r="B769" s="9"/>
      <c r="C769" s="9"/>
    </row>
    <row r="770">
      <c r="A770" s="103"/>
      <c r="B770" s="9"/>
      <c r="C770" s="9"/>
    </row>
    <row r="771">
      <c r="A771" s="103"/>
      <c r="B771" s="9"/>
      <c r="C771" s="9"/>
    </row>
    <row r="772">
      <c r="A772" s="103"/>
      <c r="B772" s="9"/>
      <c r="C772" s="9"/>
    </row>
    <row r="773">
      <c r="A773" s="103"/>
      <c r="B773" s="9"/>
      <c r="C773" s="9"/>
    </row>
    <row r="774">
      <c r="A774" s="103"/>
      <c r="B774" s="9"/>
      <c r="C774" s="9"/>
    </row>
    <row r="775">
      <c r="A775" s="103"/>
      <c r="B775" s="9"/>
      <c r="C775" s="9"/>
    </row>
    <row r="776">
      <c r="A776" s="103"/>
      <c r="B776" s="9"/>
      <c r="C776" s="9"/>
    </row>
    <row r="777">
      <c r="A777" s="103"/>
      <c r="B777" s="9"/>
      <c r="C777" s="9"/>
    </row>
    <row r="778">
      <c r="A778" s="103"/>
      <c r="B778" s="9"/>
      <c r="C778" s="9"/>
    </row>
    <row r="779">
      <c r="A779" s="103"/>
      <c r="B779" s="9"/>
      <c r="C779" s="9"/>
    </row>
    <row r="780">
      <c r="A780" s="103"/>
      <c r="B780" s="9"/>
      <c r="C780" s="9"/>
    </row>
    <row r="781">
      <c r="A781" s="103"/>
      <c r="B781" s="9"/>
      <c r="C781" s="9"/>
    </row>
    <row r="782">
      <c r="A782" s="103"/>
      <c r="B782" s="9"/>
      <c r="C782" s="9"/>
    </row>
    <row r="783">
      <c r="A783" s="103"/>
      <c r="B783" s="9"/>
      <c r="C783" s="9"/>
    </row>
    <row r="784">
      <c r="A784" s="103"/>
      <c r="B784" s="9"/>
      <c r="C784" s="9"/>
    </row>
    <row r="785">
      <c r="A785" s="103"/>
      <c r="B785" s="9"/>
      <c r="C785" s="9"/>
    </row>
    <row r="786">
      <c r="A786" s="103"/>
      <c r="B786" s="9"/>
      <c r="C786" s="9"/>
    </row>
    <row r="787">
      <c r="A787" s="103"/>
      <c r="B787" s="9"/>
      <c r="C787" s="9"/>
    </row>
    <row r="788">
      <c r="A788" s="103"/>
      <c r="B788" s="9"/>
      <c r="C788" s="9"/>
    </row>
    <row r="789">
      <c r="A789" s="103"/>
      <c r="B789" s="9"/>
      <c r="C789" s="9"/>
    </row>
    <row r="790">
      <c r="A790" s="103"/>
      <c r="B790" s="9"/>
      <c r="C790" s="9"/>
    </row>
    <row r="791">
      <c r="A791" s="103"/>
      <c r="B791" s="9"/>
      <c r="C791" s="9"/>
    </row>
    <row r="792">
      <c r="A792" s="103"/>
      <c r="B792" s="9"/>
      <c r="C792" s="9"/>
    </row>
    <row r="793">
      <c r="A793" s="103"/>
      <c r="B793" s="9"/>
      <c r="C793" s="9"/>
    </row>
    <row r="794">
      <c r="A794" s="103"/>
      <c r="B794" s="9"/>
      <c r="C794" s="9"/>
    </row>
    <row r="795">
      <c r="A795" s="103"/>
      <c r="B795" s="9"/>
      <c r="C795" s="9"/>
    </row>
    <row r="796">
      <c r="A796" s="103"/>
      <c r="B796" s="9"/>
      <c r="C796" s="9"/>
    </row>
    <row r="797">
      <c r="A797" s="103"/>
      <c r="B797" s="9"/>
      <c r="C797" s="9"/>
    </row>
    <row r="798">
      <c r="A798" s="103"/>
      <c r="B798" s="9"/>
      <c r="C798" s="9"/>
    </row>
    <row r="799">
      <c r="A799" s="103"/>
      <c r="B799" s="9"/>
      <c r="C799" s="9"/>
    </row>
    <row r="800">
      <c r="A800" s="103"/>
      <c r="B800" s="9"/>
      <c r="C800" s="9"/>
    </row>
    <row r="801">
      <c r="A801" s="103"/>
      <c r="B801" s="9"/>
      <c r="C801" s="9"/>
    </row>
    <row r="802">
      <c r="A802" s="103"/>
      <c r="B802" s="9"/>
      <c r="C802" s="9"/>
    </row>
    <row r="803">
      <c r="A803" s="103"/>
      <c r="B803" s="9"/>
      <c r="C803" s="9"/>
    </row>
    <row r="804">
      <c r="A804" s="103"/>
      <c r="B804" s="9"/>
      <c r="C804" s="9"/>
    </row>
    <row r="805">
      <c r="A805" s="103"/>
      <c r="B805" s="9"/>
      <c r="C805" s="9"/>
    </row>
    <row r="806">
      <c r="A806" s="103"/>
      <c r="B806" s="9"/>
      <c r="C806" s="9"/>
    </row>
    <row r="807">
      <c r="A807" s="103"/>
      <c r="B807" s="9"/>
      <c r="C807" s="9"/>
    </row>
    <row r="808">
      <c r="A808" s="103"/>
      <c r="B808" s="9"/>
      <c r="C808" s="9"/>
    </row>
    <row r="809">
      <c r="A809" s="103"/>
      <c r="B809" s="9"/>
      <c r="C809" s="9"/>
    </row>
    <row r="810">
      <c r="A810" s="103"/>
      <c r="B810" s="9"/>
      <c r="C810" s="9"/>
    </row>
    <row r="811">
      <c r="A811" s="103"/>
      <c r="B811" s="9"/>
      <c r="C811" s="9"/>
    </row>
    <row r="812">
      <c r="A812" s="103"/>
      <c r="B812" s="9"/>
      <c r="C812" s="9"/>
    </row>
    <row r="813">
      <c r="A813" s="103"/>
      <c r="B813" s="9"/>
      <c r="C813" s="9"/>
    </row>
    <row r="814">
      <c r="A814" s="103"/>
      <c r="B814" s="9"/>
      <c r="C814" s="9"/>
    </row>
    <row r="815">
      <c r="A815" s="103"/>
      <c r="B815" s="9"/>
      <c r="C815" s="9"/>
    </row>
    <row r="816">
      <c r="A816" s="103"/>
      <c r="B816" s="9"/>
      <c r="C816" s="9"/>
    </row>
    <row r="817">
      <c r="A817" s="103"/>
      <c r="B817" s="9"/>
      <c r="C817" s="9"/>
    </row>
    <row r="818">
      <c r="A818" s="103"/>
      <c r="B818" s="9"/>
      <c r="C818" s="9"/>
    </row>
    <row r="819">
      <c r="A819" s="103"/>
      <c r="B819" s="9"/>
      <c r="C819" s="9"/>
    </row>
    <row r="820">
      <c r="A820" s="103"/>
      <c r="B820" s="9"/>
      <c r="C820" s="9"/>
    </row>
    <row r="821">
      <c r="A821" s="103"/>
      <c r="B821" s="9"/>
      <c r="C821" s="9"/>
    </row>
    <row r="822">
      <c r="A822" s="103"/>
      <c r="B822" s="9"/>
      <c r="C822" s="9"/>
    </row>
    <row r="823">
      <c r="A823" s="103"/>
      <c r="B823" s="9"/>
      <c r="C823" s="9"/>
    </row>
    <row r="824">
      <c r="A824" s="103"/>
      <c r="B824" s="9"/>
      <c r="C824" s="9"/>
    </row>
    <row r="825">
      <c r="A825" s="103"/>
      <c r="B825" s="9"/>
      <c r="C825" s="9"/>
    </row>
    <row r="826">
      <c r="A826" s="103"/>
      <c r="B826" s="9"/>
      <c r="C826" s="9"/>
    </row>
    <row r="827">
      <c r="A827" s="103"/>
      <c r="B827" s="9"/>
      <c r="C827" s="9"/>
    </row>
    <row r="828">
      <c r="A828" s="103"/>
      <c r="B828" s="9"/>
      <c r="C828" s="9"/>
    </row>
    <row r="829">
      <c r="A829" s="103"/>
      <c r="B829" s="9"/>
      <c r="C829" s="9"/>
    </row>
    <row r="830">
      <c r="A830" s="103"/>
      <c r="B830" s="9"/>
      <c r="C830" s="9"/>
    </row>
    <row r="831">
      <c r="A831" s="103"/>
      <c r="B831" s="9"/>
      <c r="C831" s="9"/>
    </row>
    <row r="832">
      <c r="A832" s="103"/>
      <c r="B832" s="9"/>
      <c r="C832" s="9"/>
    </row>
    <row r="833">
      <c r="A833" s="103"/>
      <c r="B833" s="9"/>
      <c r="C833" s="9"/>
    </row>
    <row r="834">
      <c r="A834" s="103"/>
      <c r="B834" s="9"/>
      <c r="C834" s="9"/>
    </row>
    <row r="835">
      <c r="A835" s="103"/>
      <c r="B835" s="9"/>
      <c r="C835" s="9"/>
    </row>
    <row r="836">
      <c r="A836" s="103"/>
      <c r="B836" s="9"/>
      <c r="C836" s="9"/>
    </row>
    <row r="837">
      <c r="A837" s="103"/>
      <c r="B837" s="9"/>
      <c r="C837" s="9"/>
    </row>
    <row r="838">
      <c r="A838" s="103"/>
      <c r="B838" s="9"/>
      <c r="C838" s="9"/>
    </row>
    <row r="839">
      <c r="A839" s="103"/>
      <c r="B839" s="9"/>
      <c r="C839" s="9"/>
    </row>
    <row r="840">
      <c r="A840" s="103"/>
      <c r="B840" s="9"/>
      <c r="C840" s="9"/>
    </row>
    <row r="841">
      <c r="A841" s="103"/>
      <c r="B841" s="9"/>
      <c r="C841" s="9"/>
    </row>
    <row r="842">
      <c r="A842" s="103"/>
      <c r="B842" s="9"/>
      <c r="C842" s="9"/>
    </row>
    <row r="843">
      <c r="A843" s="103"/>
      <c r="B843" s="9"/>
      <c r="C843" s="9"/>
    </row>
    <row r="844">
      <c r="A844" s="103"/>
      <c r="B844" s="9"/>
      <c r="C844" s="9"/>
    </row>
    <row r="845">
      <c r="A845" s="103"/>
      <c r="B845" s="9"/>
      <c r="C845" s="9"/>
    </row>
    <row r="846">
      <c r="A846" s="103"/>
      <c r="B846" s="9"/>
      <c r="C846" s="9"/>
    </row>
    <row r="847">
      <c r="A847" s="103"/>
      <c r="B847" s="9"/>
      <c r="C847" s="9"/>
    </row>
    <row r="848">
      <c r="A848" s="103"/>
      <c r="B848" s="9"/>
      <c r="C848" s="9"/>
    </row>
    <row r="849">
      <c r="A849" s="103"/>
      <c r="B849" s="9"/>
      <c r="C849" s="9"/>
    </row>
    <row r="850">
      <c r="A850" s="103"/>
      <c r="B850" s="9"/>
      <c r="C850" s="9"/>
    </row>
    <row r="851">
      <c r="A851" s="103"/>
      <c r="B851" s="9"/>
      <c r="C851" s="9"/>
    </row>
    <row r="852">
      <c r="A852" s="103"/>
      <c r="B852" s="9"/>
      <c r="C852" s="9"/>
    </row>
    <row r="853">
      <c r="A853" s="103"/>
      <c r="B853" s="9"/>
      <c r="C853" s="9"/>
    </row>
    <row r="854">
      <c r="A854" s="103"/>
      <c r="B854" s="9"/>
      <c r="C854" s="9"/>
    </row>
    <row r="855">
      <c r="A855" s="103"/>
      <c r="B855" s="9"/>
      <c r="C855" s="9"/>
    </row>
    <row r="856">
      <c r="A856" s="103"/>
      <c r="B856" s="9"/>
      <c r="C856" s="9"/>
    </row>
    <row r="857">
      <c r="A857" s="103"/>
      <c r="B857" s="9"/>
      <c r="C857" s="9"/>
    </row>
    <row r="858">
      <c r="A858" s="103"/>
      <c r="B858" s="9"/>
      <c r="C858" s="9"/>
    </row>
    <row r="859">
      <c r="A859" s="103"/>
      <c r="B859" s="9"/>
      <c r="C859" s="9"/>
    </row>
    <row r="860">
      <c r="A860" s="103"/>
      <c r="B860" s="9"/>
      <c r="C860" s="9"/>
    </row>
    <row r="861">
      <c r="A861" s="103"/>
      <c r="B861" s="9"/>
      <c r="C861" s="9"/>
    </row>
    <row r="862">
      <c r="A862" s="103"/>
      <c r="B862" s="9"/>
      <c r="C862" s="9"/>
    </row>
    <row r="863">
      <c r="A863" s="103"/>
      <c r="B863" s="9"/>
      <c r="C863" s="9"/>
    </row>
    <row r="864">
      <c r="A864" s="103"/>
      <c r="B864" s="9"/>
      <c r="C864" s="9"/>
    </row>
    <row r="865">
      <c r="A865" s="103"/>
      <c r="B865" s="9"/>
      <c r="C865" s="9"/>
    </row>
    <row r="866">
      <c r="A866" s="103"/>
      <c r="B866" s="9"/>
      <c r="C866" s="9"/>
    </row>
    <row r="867">
      <c r="A867" s="103"/>
      <c r="B867" s="9"/>
      <c r="C867" s="9"/>
    </row>
    <row r="868">
      <c r="A868" s="103"/>
      <c r="B868" s="9"/>
      <c r="C868" s="9"/>
    </row>
    <row r="869">
      <c r="A869" s="103"/>
      <c r="B869" s="9"/>
      <c r="C869" s="9"/>
    </row>
    <row r="870">
      <c r="A870" s="103"/>
      <c r="B870" s="9"/>
      <c r="C870" s="9"/>
    </row>
    <row r="871">
      <c r="A871" s="103"/>
      <c r="B871" s="9"/>
      <c r="C871" s="9"/>
    </row>
    <row r="872">
      <c r="A872" s="103"/>
      <c r="B872" s="9"/>
      <c r="C872" s="9"/>
    </row>
    <row r="873">
      <c r="A873" s="103"/>
      <c r="B873" s="9"/>
      <c r="C873" s="9"/>
    </row>
    <row r="874">
      <c r="A874" s="103"/>
      <c r="B874" s="9"/>
      <c r="C874" s="9"/>
    </row>
    <row r="875">
      <c r="A875" s="103"/>
      <c r="B875" s="9"/>
      <c r="C875" s="9"/>
    </row>
    <row r="876">
      <c r="A876" s="103"/>
      <c r="B876" s="9"/>
      <c r="C876" s="9"/>
    </row>
    <row r="877">
      <c r="A877" s="103"/>
      <c r="B877" s="9"/>
      <c r="C877" s="9"/>
    </row>
    <row r="878">
      <c r="A878" s="103"/>
      <c r="B878" s="9"/>
      <c r="C878" s="9"/>
    </row>
    <row r="879">
      <c r="A879" s="103"/>
      <c r="B879" s="9"/>
      <c r="C879" s="9"/>
    </row>
    <row r="880">
      <c r="A880" s="103"/>
      <c r="B880" s="9"/>
      <c r="C880" s="9"/>
    </row>
    <row r="881">
      <c r="A881" s="103"/>
      <c r="B881" s="9"/>
      <c r="C881" s="9"/>
    </row>
    <row r="882">
      <c r="A882" s="103"/>
      <c r="B882" s="9"/>
      <c r="C882" s="9"/>
    </row>
    <row r="883">
      <c r="A883" s="103"/>
      <c r="B883" s="9"/>
      <c r="C883" s="9"/>
    </row>
    <row r="884">
      <c r="A884" s="103"/>
      <c r="B884" s="9"/>
      <c r="C884" s="9"/>
    </row>
    <row r="885">
      <c r="A885" s="103"/>
      <c r="B885" s="9"/>
      <c r="C885" s="9"/>
    </row>
    <row r="886">
      <c r="A886" s="103"/>
      <c r="B886" s="9"/>
      <c r="C886" s="9"/>
    </row>
    <row r="887">
      <c r="A887" s="103"/>
      <c r="B887" s="9"/>
      <c r="C887" s="9"/>
    </row>
    <row r="888">
      <c r="A888" s="103"/>
      <c r="B888" s="9"/>
      <c r="C888" s="9"/>
    </row>
    <row r="889">
      <c r="A889" s="103"/>
      <c r="B889" s="9"/>
      <c r="C889" s="9"/>
    </row>
    <row r="890">
      <c r="A890" s="103"/>
      <c r="B890" s="9"/>
      <c r="C890" s="9"/>
    </row>
    <row r="891">
      <c r="A891" s="103"/>
      <c r="B891" s="9"/>
      <c r="C891" s="9"/>
    </row>
    <row r="892">
      <c r="A892" s="103"/>
      <c r="B892" s="9"/>
      <c r="C892" s="9"/>
    </row>
    <row r="893">
      <c r="A893" s="103"/>
      <c r="B893" s="9"/>
      <c r="C893" s="9"/>
    </row>
    <row r="894">
      <c r="A894" s="103"/>
      <c r="B894" s="9"/>
      <c r="C894" s="9"/>
    </row>
    <row r="895">
      <c r="A895" s="103"/>
      <c r="B895" s="9"/>
      <c r="C895" s="9"/>
    </row>
    <row r="896">
      <c r="A896" s="103"/>
      <c r="B896" s="9"/>
      <c r="C896" s="9"/>
    </row>
    <row r="897">
      <c r="A897" s="103"/>
      <c r="B897" s="9"/>
      <c r="C897" s="9"/>
    </row>
    <row r="898">
      <c r="A898" s="103"/>
      <c r="B898" s="9"/>
      <c r="C898" s="9"/>
    </row>
    <row r="899">
      <c r="A899" s="103"/>
      <c r="B899" s="9"/>
      <c r="C899" s="9"/>
    </row>
    <row r="900">
      <c r="A900" s="103"/>
      <c r="B900" s="9"/>
      <c r="C900" s="9"/>
    </row>
    <row r="901">
      <c r="A901" s="103"/>
      <c r="B901" s="9"/>
      <c r="C901" s="9"/>
    </row>
    <row r="902">
      <c r="A902" s="103"/>
      <c r="B902" s="9"/>
      <c r="C902" s="9"/>
    </row>
    <row r="903">
      <c r="A903" s="103"/>
      <c r="B903" s="9"/>
      <c r="C903" s="9"/>
    </row>
    <row r="904">
      <c r="A904" s="103"/>
      <c r="B904" s="9"/>
      <c r="C904" s="9"/>
    </row>
    <row r="905">
      <c r="A905" s="103"/>
      <c r="B905" s="9"/>
      <c r="C905" s="9"/>
    </row>
    <row r="906">
      <c r="A906" s="103"/>
      <c r="B906" s="9"/>
      <c r="C906" s="9"/>
    </row>
    <row r="907">
      <c r="A907" s="103"/>
      <c r="B907" s="9"/>
      <c r="C907" s="9"/>
    </row>
    <row r="908">
      <c r="A908" s="103"/>
      <c r="B908" s="9"/>
      <c r="C908" s="9"/>
    </row>
    <row r="909">
      <c r="A909" s="103"/>
      <c r="B909" s="9"/>
      <c r="C909" s="9"/>
    </row>
    <row r="910">
      <c r="A910" s="103"/>
      <c r="B910" s="9"/>
      <c r="C910" s="9"/>
    </row>
    <row r="911">
      <c r="A911" s="103"/>
      <c r="B911" s="9"/>
      <c r="C911" s="9"/>
    </row>
    <row r="912">
      <c r="A912" s="103"/>
      <c r="B912" s="9"/>
      <c r="C912" s="9"/>
    </row>
    <row r="913">
      <c r="A913" s="103"/>
      <c r="B913" s="9"/>
      <c r="C913" s="9"/>
    </row>
    <row r="914">
      <c r="A914" s="103"/>
      <c r="B914" s="9"/>
      <c r="C914" s="9"/>
    </row>
    <row r="915">
      <c r="A915" s="103"/>
      <c r="B915" s="9"/>
      <c r="C915" s="9"/>
    </row>
    <row r="916">
      <c r="A916" s="103"/>
      <c r="B916" s="9"/>
      <c r="C916" s="9"/>
    </row>
    <row r="917">
      <c r="A917" s="103"/>
      <c r="B917" s="9"/>
      <c r="C917" s="9"/>
    </row>
    <row r="918">
      <c r="A918" s="103"/>
      <c r="B918" s="9"/>
      <c r="C918" s="9"/>
    </row>
    <row r="919">
      <c r="A919" s="103"/>
      <c r="B919" s="9"/>
      <c r="C919" s="9"/>
    </row>
    <row r="920">
      <c r="A920" s="103"/>
      <c r="B920" s="9"/>
      <c r="C920" s="9"/>
    </row>
    <row r="921">
      <c r="A921" s="103"/>
      <c r="B921" s="9"/>
      <c r="C921" s="9"/>
    </row>
    <row r="922">
      <c r="A922" s="103"/>
      <c r="B922" s="9"/>
      <c r="C922" s="9"/>
    </row>
    <row r="923">
      <c r="A923" s="103"/>
      <c r="B923" s="9"/>
      <c r="C923" s="9"/>
    </row>
    <row r="924">
      <c r="A924" s="103"/>
      <c r="B924" s="9"/>
      <c r="C924" s="9"/>
    </row>
    <row r="925">
      <c r="A925" s="103"/>
      <c r="B925" s="9"/>
      <c r="C925" s="9"/>
    </row>
    <row r="926">
      <c r="A926" s="103"/>
      <c r="B926" s="9"/>
      <c r="C926" s="9"/>
    </row>
    <row r="927">
      <c r="A927" s="103"/>
      <c r="B927" s="9"/>
      <c r="C927" s="9"/>
    </row>
    <row r="928">
      <c r="A928" s="103"/>
      <c r="B928" s="9"/>
      <c r="C928" s="9"/>
    </row>
    <row r="929">
      <c r="A929" s="103"/>
      <c r="B929" s="9"/>
      <c r="C929" s="9"/>
    </row>
    <row r="930">
      <c r="A930" s="103"/>
      <c r="B930" s="9"/>
      <c r="C930" s="9"/>
    </row>
    <row r="931">
      <c r="A931" s="103"/>
      <c r="B931" s="9"/>
      <c r="C931" s="9"/>
    </row>
    <row r="932">
      <c r="A932" s="103"/>
      <c r="B932" s="9"/>
      <c r="C932" s="9"/>
    </row>
    <row r="933">
      <c r="A933" s="103"/>
      <c r="B933" s="9"/>
      <c r="C933" s="9"/>
    </row>
    <row r="934">
      <c r="A934" s="103"/>
      <c r="B934" s="9"/>
      <c r="C934" s="9"/>
    </row>
    <row r="935">
      <c r="A935" s="103"/>
      <c r="B935" s="9"/>
      <c r="C935" s="9"/>
    </row>
    <row r="936">
      <c r="A936" s="103"/>
      <c r="B936" s="9"/>
      <c r="C936" s="9"/>
    </row>
    <row r="937">
      <c r="A937" s="103"/>
      <c r="B937" s="9"/>
      <c r="C937" s="9"/>
    </row>
    <row r="938">
      <c r="A938" s="103"/>
      <c r="B938" s="9"/>
      <c r="C938" s="9"/>
    </row>
    <row r="939">
      <c r="A939" s="103"/>
      <c r="B939" s="9"/>
      <c r="C939" s="9"/>
    </row>
    <row r="940">
      <c r="A940" s="103"/>
      <c r="B940" s="9"/>
      <c r="C940" s="9"/>
    </row>
    <row r="941">
      <c r="A941" s="103"/>
      <c r="B941" s="9"/>
      <c r="C941" s="9"/>
    </row>
    <row r="942">
      <c r="A942" s="103"/>
      <c r="B942" s="9"/>
      <c r="C942" s="9"/>
    </row>
    <row r="943">
      <c r="A943" s="103"/>
      <c r="B943" s="9"/>
      <c r="C943" s="9"/>
    </row>
    <row r="944">
      <c r="A944" s="103"/>
      <c r="B944" s="9"/>
      <c r="C944" s="9"/>
    </row>
    <row r="945">
      <c r="A945" s="103"/>
      <c r="B945" s="9"/>
      <c r="C945" s="9"/>
    </row>
    <row r="946">
      <c r="A946" s="103"/>
      <c r="B946" s="9"/>
      <c r="C946" s="9"/>
    </row>
    <row r="947">
      <c r="A947" s="103"/>
      <c r="B947" s="9"/>
      <c r="C947" s="9"/>
    </row>
    <row r="948">
      <c r="A948" s="103"/>
      <c r="B948" s="9"/>
      <c r="C948" s="9"/>
    </row>
    <row r="949">
      <c r="A949" s="103"/>
      <c r="B949" s="9"/>
      <c r="C949" s="9"/>
    </row>
    <row r="950">
      <c r="A950" s="103"/>
      <c r="B950" s="9"/>
      <c r="C950" s="9"/>
    </row>
    <row r="951">
      <c r="A951" s="103"/>
      <c r="B951" s="9"/>
      <c r="C951" s="9"/>
    </row>
    <row r="952">
      <c r="A952" s="103"/>
      <c r="B952" s="9"/>
      <c r="C952" s="9"/>
    </row>
    <row r="953">
      <c r="A953" s="103"/>
      <c r="B953" s="9"/>
      <c r="C953" s="9"/>
    </row>
    <row r="954">
      <c r="A954" s="103"/>
      <c r="B954" s="9"/>
      <c r="C954" s="9"/>
    </row>
    <row r="955">
      <c r="A955" s="103"/>
      <c r="B955" s="9"/>
      <c r="C955" s="9"/>
    </row>
    <row r="956">
      <c r="A956" s="103"/>
      <c r="B956" s="9"/>
      <c r="C956" s="9"/>
    </row>
    <row r="957">
      <c r="A957" s="103"/>
      <c r="B957" s="9"/>
      <c r="C957" s="9"/>
    </row>
    <row r="958">
      <c r="A958" s="103"/>
      <c r="B958" s="9"/>
      <c r="C958" s="9"/>
    </row>
    <row r="959">
      <c r="A959" s="103"/>
      <c r="B959" s="9"/>
      <c r="C959" s="9"/>
    </row>
    <row r="960">
      <c r="A960" s="103"/>
      <c r="B960" s="9"/>
      <c r="C960" s="9"/>
    </row>
    <row r="961">
      <c r="A961" s="103"/>
      <c r="B961" s="9"/>
      <c r="C961" s="9"/>
    </row>
    <row r="962">
      <c r="A962" s="103"/>
      <c r="B962" s="9"/>
      <c r="C962" s="9"/>
    </row>
    <row r="963">
      <c r="A963" s="103"/>
      <c r="B963" s="9"/>
      <c r="C963" s="9"/>
    </row>
    <row r="964">
      <c r="A964" s="103"/>
      <c r="B964" s="9"/>
      <c r="C964" s="9"/>
    </row>
    <row r="965">
      <c r="A965" s="103"/>
      <c r="B965" s="9"/>
      <c r="C965" s="9"/>
    </row>
    <row r="966">
      <c r="A966" s="103"/>
      <c r="B966" s="9"/>
      <c r="C966" s="9"/>
    </row>
    <row r="967">
      <c r="A967" s="103"/>
      <c r="B967" s="9"/>
      <c r="C967" s="9"/>
    </row>
    <row r="968">
      <c r="A968" s="103"/>
      <c r="B968" s="9"/>
      <c r="C968" s="9"/>
    </row>
    <row r="969">
      <c r="A969" s="103"/>
      <c r="B969" s="9"/>
      <c r="C969" s="9"/>
    </row>
    <row r="970">
      <c r="A970" s="103"/>
      <c r="B970" s="9"/>
      <c r="C970" s="9"/>
    </row>
    <row r="971">
      <c r="A971" s="103"/>
      <c r="B971" s="9"/>
      <c r="C971" s="9"/>
    </row>
    <row r="972">
      <c r="A972" s="103"/>
      <c r="B972" s="9"/>
      <c r="C972" s="9"/>
    </row>
    <row r="973">
      <c r="A973" s="103"/>
      <c r="B973" s="9"/>
      <c r="C973" s="9"/>
    </row>
    <row r="974">
      <c r="A974" s="103"/>
      <c r="B974" s="9"/>
      <c r="C974" s="9"/>
    </row>
    <row r="975">
      <c r="A975" s="103"/>
      <c r="B975" s="9"/>
      <c r="C975" s="9"/>
    </row>
    <row r="976">
      <c r="A976" s="103"/>
      <c r="B976" s="9"/>
      <c r="C976" s="9"/>
    </row>
    <row r="977">
      <c r="A977" s="103"/>
      <c r="B977" s="9"/>
      <c r="C977" s="9"/>
    </row>
    <row r="978">
      <c r="A978" s="103"/>
      <c r="B978" s="9"/>
      <c r="C978" s="9"/>
    </row>
    <row r="979">
      <c r="A979" s="103"/>
      <c r="B979" s="9"/>
      <c r="C979" s="9"/>
    </row>
    <row r="980">
      <c r="A980" s="103"/>
      <c r="B980" s="9"/>
      <c r="C980" s="9"/>
    </row>
    <row r="981">
      <c r="A981" s="103"/>
      <c r="B981" s="9"/>
      <c r="C981" s="9"/>
    </row>
    <row r="982">
      <c r="A982" s="103"/>
      <c r="B982" s="9"/>
      <c r="C982" s="9"/>
    </row>
    <row r="983">
      <c r="A983" s="103"/>
      <c r="B983" s="9"/>
      <c r="C983" s="9"/>
    </row>
    <row r="984">
      <c r="A984" s="103"/>
      <c r="B984" s="9"/>
      <c r="C984" s="9"/>
    </row>
    <row r="985">
      <c r="A985" s="103"/>
      <c r="B985" s="9"/>
      <c r="C985" s="9"/>
    </row>
    <row r="986">
      <c r="A986" s="103"/>
      <c r="B986" s="9"/>
      <c r="C986" s="9"/>
    </row>
    <row r="987">
      <c r="A987" s="103"/>
      <c r="B987" s="9"/>
      <c r="C987" s="9"/>
    </row>
    <row r="988">
      <c r="A988" s="103"/>
      <c r="B988" s="9"/>
      <c r="C988" s="9"/>
    </row>
    <row r="989">
      <c r="A989" s="103"/>
      <c r="B989" s="9"/>
      <c r="C989" s="9"/>
    </row>
    <row r="990">
      <c r="A990" s="103"/>
      <c r="B990" s="9"/>
      <c r="C990" s="9"/>
    </row>
    <row r="991">
      <c r="A991" s="103"/>
      <c r="B991" s="9"/>
      <c r="C991" s="9"/>
    </row>
    <row r="992">
      <c r="A992" s="103"/>
      <c r="B992" s="9"/>
      <c r="C992" s="9"/>
    </row>
    <row r="993">
      <c r="A993" s="103"/>
      <c r="B993" s="9"/>
      <c r="C993" s="9"/>
    </row>
    <row r="994">
      <c r="A994" s="103"/>
      <c r="B994" s="9"/>
      <c r="C994" s="9"/>
    </row>
    <row r="995">
      <c r="A995" s="103"/>
      <c r="B995" s="9"/>
      <c r="C995" s="9"/>
    </row>
    <row r="996">
      <c r="A996" s="103"/>
      <c r="B996" s="9"/>
      <c r="C996" s="9"/>
    </row>
    <row r="997">
      <c r="A997" s="103"/>
      <c r="B997" s="9"/>
      <c r="C997" s="9"/>
    </row>
    <row r="998">
      <c r="A998" s="103"/>
      <c r="B998" s="9"/>
      <c r="C998" s="9"/>
    </row>
    <row r="999">
      <c r="A999" s="103"/>
      <c r="B999" s="9"/>
      <c r="C999" s="9"/>
    </row>
    <row r="1000">
      <c r="A1000" s="103"/>
      <c r="B1000" s="9"/>
      <c r="C1000" s="9"/>
    </row>
    <row r="1001">
      <c r="A1001" s="103"/>
      <c r="B1001" s="9"/>
      <c r="C1001" s="9"/>
    </row>
    <row r="1002">
      <c r="A1002" s="103"/>
      <c r="B1002" s="9"/>
      <c r="C1002" s="9"/>
    </row>
    <row r="1003">
      <c r="A1003" s="103"/>
      <c r="B1003" s="9"/>
      <c r="C1003" s="9"/>
    </row>
    <row r="1004">
      <c r="A1004" s="103"/>
      <c r="B1004" s="9"/>
      <c r="C1004" s="9"/>
    </row>
    <row r="1005">
      <c r="A1005" s="103"/>
      <c r="B1005" s="9"/>
      <c r="C1005" s="9"/>
    </row>
    <row r="1006">
      <c r="A1006" s="103"/>
      <c r="B1006" s="9"/>
      <c r="C1006" s="9"/>
    </row>
    <row r="1007">
      <c r="A1007" s="103"/>
      <c r="B1007" s="9"/>
      <c r="C1007" s="9"/>
    </row>
    <row r="1008">
      <c r="A1008" s="103"/>
      <c r="B1008" s="9"/>
      <c r="C1008" s="9"/>
    </row>
    <row r="1009">
      <c r="A1009" s="103"/>
      <c r="B1009" s="9"/>
      <c r="C1009" s="9"/>
    </row>
    <row r="1010">
      <c r="A1010" s="103"/>
      <c r="B1010" s="9"/>
      <c r="C1010" s="9"/>
    </row>
    <row r="1011">
      <c r="A1011" s="103"/>
      <c r="B1011" s="9"/>
      <c r="C1011" s="9"/>
    </row>
    <row r="1012">
      <c r="A1012" s="103"/>
      <c r="B1012" s="9"/>
      <c r="C1012" s="9"/>
    </row>
    <row r="1013">
      <c r="A1013" s="103"/>
      <c r="B1013" s="9"/>
      <c r="C1013" s="9"/>
    </row>
    <row r="1014">
      <c r="A1014" s="103"/>
      <c r="B1014" s="9"/>
      <c r="C1014" s="9"/>
    </row>
    <row r="1015">
      <c r="A1015" s="103"/>
      <c r="B1015" s="9"/>
      <c r="C1015" s="9"/>
    </row>
    <row r="1016">
      <c r="A1016" s="103"/>
      <c r="B1016" s="9"/>
      <c r="C1016" s="9"/>
    </row>
    <row r="1017">
      <c r="A1017" s="103"/>
      <c r="B1017" s="9"/>
      <c r="C1017" s="9"/>
    </row>
    <row r="1018">
      <c r="A1018" s="103"/>
      <c r="B1018" s="9"/>
      <c r="C1018" s="9"/>
    </row>
    <row r="1019">
      <c r="A1019" s="103"/>
      <c r="B1019" s="9"/>
      <c r="C1019" s="9"/>
    </row>
    <row r="1020">
      <c r="A1020" s="103"/>
      <c r="B1020" s="9"/>
      <c r="C1020" s="9"/>
    </row>
    <row r="1021">
      <c r="A1021" s="103"/>
      <c r="B1021" s="9"/>
      <c r="C1021" s="9"/>
    </row>
    <row r="1022">
      <c r="A1022" s="103"/>
      <c r="B1022" s="9"/>
      <c r="C1022" s="9"/>
    </row>
    <row r="1023">
      <c r="A1023" s="103"/>
      <c r="B1023" s="9"/>
      <c r="C1023" s="9"/>
    </row>
    <row r="1024">
      <c r="A1024" s="103"/>
      <c r="B1024" s="9"/>
      <c r="C1024" s="9"/>
    </row>
    <row r="1025">
      <c r="A1025" s="103"/>
      <c r="B1025" s="9"/>
      <c r="C1025" s="9"/>
    </row>
    <row r="1026">
      <c r="A1026" s="103"/>
      <c r="B1026" s="9"/>
      <c r="C1026" s="9"/>
    </row>
    <row r="1027">
      <c r="A1027" s="103"/>
      <c r="B1027" s="9"/>
      <c r="C1027" s="9"/>
    </row>
    <row r="1028">
      <c r="A1028" s="103"/>
      <c r="B1028" s="9"/>
      <c r="C1028" s="9"/>
    </row>
    <row r="1029">
      <c r="A1029" s="103"/>
      <c r="B1029" s="9"/>
      <c r="C1029" s="9"/>
    </row>
    <row r="1030">
      <c r="A1030" s="103"/>
      <c r="B1030" s="9"/>
      <c r="C1030" s="9"/>
    </row>
    <row r="1031">
      <c r="A1031" s="103"/>
      <c r="B1031" s="9"/>
      <c r="C1031" s="9"/>
    </row>
    <row r="1032">
      <c r="A1032" s="103"/>
      <c r="B1032" s="9"/>
      <c r="C1032" s="9"/>
    </row>
    <row r="1033">
      <c r="A1033" s="103"/>
      <c r="B1033" s="9"/>
      <c r="C1033" s="9"/>
    </row>
    <row r="1034">
      <c r="A1034" s="103"/>
      <c r="B1034" s="9"/>
      <c r="C1034" s="9"/>
    </row>
    <row r="1035">
      <c r="A1035" s="103"/>
      <c r="B1035" s="9"/>
      <c r="C1035" s="9"/>
    </row>
    <row r="1036">
      <c r="A1036" s="103"/>
      <c r="B1036" s="9"/>
      <c r="C1036" s="9"/>
    </row>
    <row r="1037">
      <c r="A1037" s="103"/>
      <c r="B1037" s="9"/>
      <c r="C1037" s="9"/>
    </row>
    <row r="1038">
      <c r="A1038" s="103"/>
      <c r="B1038" s="9"/>
      <c r="C1038" s="9"/>
    </row>
    <row r="1039">
      <c r="A1039" s="103"/>
      <c r="B1039" s="9"/>
      <c r="C1039" s="9"/>
    </row>
    <row r="1040">
      <c r="A1040" s="103"/>
      <c r="B1040" s="9"/>
      <c r="C1040" s="9"/>
    </row>
    <row r="1041">
      <c r="A1041" s="103"/>
      <c r="B1041" s="9"/>
      <c r="C1041" s="9"/>
    </row>
    <row r="1042">
      <c r="A1042" s="103"/>
      <c r="B1042" s="9"/>
      <c r="C1042" s="9"/>
    </row>
    <row r="1043">
      <c r="A1043" s="103"/>
      <c r="B1043" s="9"/>
      <c r="C1043" s="9"/>
    </row>
    <row r="1044">
      <c r="A1044" s="103"/>
      <c r="B1044" s="9"/>
      <c r="C1044" s="9"/>
    </row>
    <row r="1045">
      <c r="A1045" s="103"/>
      <c r="B1045" s="9"/>
      <c r="C1045" s="9"/>
    </row>
    <row r="1046">
      <c r="A1046" s="103"/>
      <c r="B1046" s="9"/>
      <c r="C1046" s="9"/>
    </row>
    <row r="1047">
      <c r="A1047" s="103"/>
      <c r="B1047" s="9"/>
      <c r="C1047" s="9"/>
    </row>
    <row r="1048">
      <c r="A1048" s="103"/>
      <c r="B1048" s="9"/>
      <c r="C1048" s="9"/>
    </row>
    <row r="1049">
      <c r="A1049" s="103"/>
      <c r="B1049" s="9"/>
      <c r="C1049" s="9"/>
    </row>
    <row r="1050">
      <c r="A1050" s="103"/>
      <c r="B1050" s="9"/>
      <c r="C1050" s="9"/>
    </row>
    <row r="1051">
      <c r="A1051" s="103"/>
      <c r="B1051" s="9"/>
      <c r="C1051" s="9"/>
    </row>
    <row r="1052">
      <c r="A1052" s="103"/>
      <c r="B1052" s="9"/>
      <c r="C1052" s="9"/>
    </row>
    <row r="1053">
      <c r="A1053" s="103"/>
      <c r="B1053" s="9"/>
      <c r="C1053" s="9"/>
    </row>
    <row r="1054">
      <c r="A1054" s="103"/>
      <c r="B1054" s="9"/>
      <c r="C1054" s="9"/>
    </row>
    <row r="1055">
      <c r="A1055" s="103"/>
      <c r="B1055" s="9"/>
      <c r="C1055" s="9"/>
    </row>
    <row r="1056">
      <c r="A1056" s="103"/>
      <c r="B1056" s="9"/>
      <c r="C1056" s="9"/>
    </row>
    <row r="1057">
      <c r="A1057" s="103"/>
      <c r="B1057" s="9"/>
      <c r="C1057" s="9"/>
    </row>
    <row r="1058">
      <c r="A1058" s="103"/>
      <c r="B1058" s="9"/>
      <c r="C105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13.63"/>
  </cols>
  <sheetData>
    <row r="1">
      <c r="A1" s="105" t="s">
        <v>89</v>
      </c>
      <c r="B1" s="105" t="s">
        <v>870</v>
      </c>
      <c r="C1" s="105" t="s">
        <v>871</v>
      </c>
      <c r="D1" s="106" t="s">
        <v>872</v>
      </c>
      <c r="E1" s="105" t="s">
        <v>873</v>
      </c>
      <c r="F1" s="106" t="s">
        <v>874</v>
      </c>
      <c r="G1" s="106" t="s">
        <v>875</v>
      </c>
      <c r="H1" s="107" t="s">
        <v>876</v>
      </c>
      <c r="I1" s="107" t="s">
        <v>877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</row>
    <row r="2">
      <c r="A2" s="109" t="s">
        <v>878</v>
      </c>
      <c r="B2" s="109">
        <v>7.52467521E8</v>
      </c>
      <c r="C2" s="109" t="s">
        <v>693</v>
      </c>
      <c r="D2" s="110">
        <v>100000.0</v>
      </c>
      <c r="E2" s="109">
        <v>130000.0</v>
      </c>
      <c r="F2" s="110">
        <v>8000.0</v>
      </c>
      <c r="G2" s="110">
        <f t="shared" ref="G2:G18" si="1">E2-F2</f>
        <v>122000</v>
      </c>
      <c r="H2" s="111">
        <v>45762.0</v>
      </c>
      <c r="I2" s="112">
        <v>45792.0</v>
      </c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>
      <c r="A3" s="109" t="s">
        <v>879</v>
      </c>
      <c r="B3" s="109">
        <v>7.58194649E8</v>
      </c>
      <c r="C3" s="109" t="s">
        <v>696</v>
      </c>
      <c r="D3" s="110">
        <v>200000.0</v>
      </c>
      <c r="E3" s="109">
        <v>338000.0</v>
      </c>
      <c r="F3" s="110">
        <v>24000.0</v>
      </c>
      <c r="G3" s="110">
        <f t="shared" si="1"/>
        <v>314000</v>
      </c>
      <c r="H3" s="111">
        <v>45825.0</v>
      </c>
      <c r="I3" s="112">
        <v>45886.0</v>
      </c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</row>
    <row r="4">
      <c r="A4" s="109" t="s">
        <v>880</v>
      </c>
      <c r="B4" s="109">
        <v>7.77829094E8</v>
      </c>
      <c r="C4" s="109" t="s">
        <v>693</v>
      </c>
      <c r="D4" s="110">
        <v>947000.0</v>
      </c>
      <c r="E4" s="110">
        <v>1659337.0</v>
      </c>
      <c r="F4" s="110">
        <v>101000.0</v>
      </c>
      <c r="G4" s="110">
        <f t="shared" si="1"/>
        <v>1558337</v>
      </c>
      <c r="H4" s="112">
        <v>45780.0</v>
      </c>
      <c r="I4" s="111">
        <v>45811.0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109" t="s">
        <v>881</v>
      </c>
      <c r="B5" s="109">
        <v>7.0616046E8</v>
      </c>
      <c r="C5" s="109" t="s">
        <v>882</v>
      </c>
      <c r="D5" s="110">
        <v>154000.0</v>
      </c>
      <c r="E5" s="110">
        <v>269839.0</v>
      </c>
      <c r="F5" s="110">
        <v>22000.0</v>
      </c>
      <c r="G5" s="110">
        <f t="shared" si="1"/>
        <v>247839</v>
      </c>
      <c r="H5" s="111">
        <v>45841.0</v>
      </c>
      <c r="I5" s="111">
        <v>45902.0</v>
      </c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</row>
    <row r="6" ht="17.25" customHeight="1">
      <c r="A6" s="109" t="s">
        <v>213</v>
      </c>
      <c r="B6" s="109">
        <v>7.857111E8</v>
      </c>
      <c r="C6" s="109" t="s">
        <v>26</v>
      </c>
      <c r="D6" s="109">
        <v>800000.0</v>
      </c>
      <c r="E6" s="115">
        <v>1521000.0000000002</v>
      </c>
      <c r="F6" s="109">
        <v>0.0</v>
      </c>
      <c r="G6" s="110">
        <f t="shared" si="1"/>
        <v>1521000</v>
      </c>
      <c r="H6" s="116">
        <v>45849.0</v>
      </c>
      <c r="I6" s="117" t="s">
        <v>738</v>
      </c>
    </row>
    <row r="7">
      <c r="A7" s="109" t="s">
        <v>274</v>
      </c>
      <c r="B7" s="109">
        <v>7.08250755E8</v>
      </c>
      <c r="C7" s="109" t="s">
        <v>26</v>
      </c>
      <c r="D7" s="109">
        <v>639000.0</v>
      </c>
      <c r="E7" s="118">
        <v>830700.0</v>
      </c>
      <c r="F7" s="109">
        <v>0.0</v>
      </c>
      <c r="G7" s="110">
        <f t="shared" si="1"/>
        <v>830700</v>
      </c>
      <c r="H7" s="116">
        <v>45849.0</v>
      </c>
      <c r="I7" s="116">
        <v>45880.0</v>
      </c>
    </row>
    <row r="8">
      <c r="A8" s="109" t="s">
        <v>410</v>
      </c>
      <c r="B8" s="119">
        <v>7.40270098E8</v>
      </c>
      <c r="C8" s="109" t="s">
        <v>60</v>
      </c>
      <c r="D8" s="110">
        <v>498800.0</v>
      </c>
      <c r="E8" s="110">
        <v>873999.0</v>
      </c>
      <c r="F8" s="109">
        <v>39000.0</v>
      </c>
      <c r="G8" s="110">
        <f t="shared" si="1"/>
        <v>834999</v>
      </c>
      <c r="H8" s="120">
        <v>45847.0</v>
      </c>
      <c r="I8" s="116">
        <v>45909.0</v>
      </c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</row>
    <row r="9">
      <c r="A9" s="121" t="s">
        <v>255</v>
      </c>
      <c r="B9" s="119">
        <v>7.67639022E8</v>
      </c>
      <c r="C9" s="121" t="s">
        <v>257</v>
      </c>
      <c r="D9" s="122">
        <v>912000.0</v>
      </c>
      <c r="E9" s="118">
        <v>2003664.0</v>
      </c>
      <c r="F9" s="123"/>
      <c r="G9" s="110">
        <f t="shared" si="1"/>
        <v>2003664</v>
      </c>
      <c r="H9" s="124">
        <v>45848.0</v>
      </c>
      <c r="I9" s="124">
        <v>45940.0</v>
      </c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</row>
    <row r="10">
      <c r="A10" s="109" t="s">
        <v>883</v>
      </c>
      <c r="B10" s="109">
        <v>7.88081442E8</v>
      </c>
      <c r="C10" s="109" t="s">
        <v>884</v>
      </c>
      <c r="D10" s="110">
        <v>747000.0</v>
      </c>
      <c r="E10" s="110">
        <v>1223914.0</v>
      </c>
      <c r="F10" s="110">
        <v>35000.0</v>
      </c>
      <c r="G10" s="110">
        <f t="shared" si="1"/>
        <v>1188914</v>
      </c>
      <c r="H10" s="124">
        <v>45842.0</v>
      </c>
      <c r="I10" s="124">
        <v>45904.0</v>
      </c>
      <c r="J10" s="125"/>
      <c r="K10" s="125"/>
      <c r="L10" s="126"/>
      <c r="M10" s="127"/>
      <c r="N10" s="128"/>
      <c r="O10" s="12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</row>
    <row r="11">
      <c r="A11" s="109" t="s">
        <v>885</v>
      </c>
      <c r="B11" s="109">
        <v>7.44781014E8</v>
      </c>
      <c r="C11" s="109" t="s">
        <v>60</v>
      </c>
      <c r="D11" s="109">
        <v>399000.0</v>
      </c>
      <c r="E11" s="109">
        <v>674310.0</v>
      </c>
      <c r="F11" s="109">
        <v>10000.0</v>
      </c>
      <c r="G11" s="110">
        <f t="shared" si="1"/>
        <v>664310</v>
      </c>
      <c r="H11" s="124">
        <v>45848.0</v>
      </c>
      <c r="I11" s="124">
        <v>45910.0</v>
      </c>
    </row>
    <row r="12">
      <c r="A12" s="121" t="s">
        <v>667</v>
      </c>
      <c r="B12" s="119">
        <v>7.52080242E8</v>
      </c>
      <c r="C12" s="109" t="s">
        <v>886</v>
      </c>
      <c r="D12" s="110">
        <v>250000.0</v>
      </c>
      <c r="E12" s="109">
        <v>325000.0</v>
      </c>
      <c r="F12" s="109">
        <v>40000.0</v>
      </c>
      <c r="G12" s="110">
        <f t="shared" si="1"/>
        <v>285000</v>
      </c>
      <c r="H12" s="124">
        <v>45842.0</v>
      </c>
      <c r="I12" s="124">
        <v>45873.0</v>
      </c>
    </row>
    <row r="13">
      <c r="A13" s="121" t="s">
        <v>248</v>
      </c>
      <c r="B13" s="119">
        <v>7.52467521E8</v>
      </c>
      <c r="C13" s="109" t="s">
        <v>123</v>
      </c>
      <c r="D13" s="110">
        <v>100000.0</v>
      </c>
      <c r="E13" s="109">
        <v>130000.0</v>
      </c>
      <c r="F13" s="109">
        <v>16000.0</v>
      </c>
      <c r="G13" s="110">
        <f t="shared" si="1"/>
        <v>114000</v>
      </c>
      <c r="H13" s="111">
        <v>45762.0</v>
      </c>
      <c r="I13" s="112">
        <v>45792.0</v>
      </c>
    </row>
    <row r="14">
      <c r="A14" s="121" t="s">
        <v>298</v>
      </c>
      <c r="B14" s="119">
        <v>7.05194015E8</v>
      </c>
      <c r="C14" s="109" t="s">
        <v>887</v>
      </c>
      <c r="D14" s="110">
        <v>28000.0</v>
      </c>
      <c r="E14" s="109">
        <v>97400.0</v>
      </c>
      <c r="F14" s="109">
        <v>10000.0</v>
      </c>
      <c r="G14" s="110">
        <f t="shared" si="1"/>
        <v>87400</v>
      </c>
      <c r="H14" s="111">
        <v>45775.0</v>
      </c>
      <c r="I14" s="112">
        <v>45805.0</v>
      </c>
    </row>
    <row r="15">
      <c r="A15" s="121" t="s">
        <v>269</v>
      </c>
      <c r="B15" s="119">
        <v>7.55664324E8</v>
      </c>
      <c r="C15" s="121" t="s">
        <v>26</v>
      </c>
      <c r="D15" s="122">
        <v>352000.0</v>
      </c>
      <c r="E15" s="118">
        <v>594880.0000000001</v>
      </c>
      <c r="F15" s="118"/>
      <c r="G15" s="110">
        <f t="shared" si="1"/>
        <v>594880</v>
      </c>
      <c r="H15" s="116">
        <v>45855.0</v>
      </c>
      <c r="I15" s="116">
        <v>45917.0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109" t="s">
        <v>286</v>
      </c>
      <c r="B16" s="109">
        <v>7.78350334E8</v>
      </c>
      <c r="C16" s="121" t="s">
        <v>26</v>
      </c>
      <c r="D16" s="110">
        <v>1109100.0</v>
      </c>
      <c r="E16" s="118">
        <v>1874379.0000000002</v>
      </c>
      <c r="F16" s="118"/>
      <c r="G16" s="110">
        <f t="shared" si="1"/>
        <v>1874379</v>
      </c>
      <c r="H16" s="116">
        <v>45855.0</v>
      </c>
      <c r="I16" s="116">
        <v>45917.0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121" t="s">
        <v>402</v>
      </c>
      <c r="B17" s="130">
        <v>7.46692404E8</v>
      </c>
      <c r="C17" s="123"/>
      <c r="D17" s="122">
        <v>1017000.0</v>
      </c>
      <c r="E17" s="118">
        <v>1217349.0</v>
      </c>
      <c r="F17" s="118"/>
      <c r="G17" s="110">
        <f t="shared" si="1"/>
        <v>1217349</v>
      </c>
      <c r="H17" s="116">
        <v>45855.0</v>
      </c>
      <c r="I17" s="116">
        <v>45917.0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109" t="s">
        <v>888</v>
      </c>
      <c r="B18" s="109">
        <v>7.07742057E8</v>
      </c>
      <c r="C18" s="109" t="s">
        <v>861</v>
      </c>
      <c r="D18" s="110">
        <v>300000.0</v>
      </c>
      <c r="E18" s="110">
        <v>390000.0</v>
      </c>
      <c r="F18" s="110">
        <v>221000.0</v>
      </c>
      <c r="G18" s="131">
        <f t="shared" si="1"/>
        <v>169000</v>
      </c>
      <c r="H18" s="132">
        <v>45814.0</v>
      </c>
      <c r="I18" s="133">
        <v>45844.0</v>
      </c>
      <c r="K18" s="134"/>
      <c r="L18" s="19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121" t="s">
        <v>667</v>
      </c>
      <c r="B19" s="119">
        <v>7.52080242E8</v>
      </c>
      <c r="C19" s="109" t="s">
        <v>886</v>
      </c>
      <c r="D19" s="110">
        <v>250000.0</v>
      </c>
      <c r="E19" s="110">
        <v>325000.0</v>
      </c>
      <c r="F19" s="109">
        <v>123000.0</v>
      </c>
      <c r="G19" s="131">
        <v>202000.0</v>
      </c>
      <c r="H19" s="124">
        <v>45842.0</v>
      </c>
      <c r="I19" s="124">
        <v>45873.0</v>
      </c>
      <c r="K19" s="24"/>
      <c r="L19" s="19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109" t="s">
        <v>881</v>
      </c>
      <c r="B20" s="109">
        <v>7.0616046E8</v>
      </c>
      <c r="C20" s="109" t="s">
        <v>882</v>
      </c>
      <c r="D20" s="110">
        <v>154000.0</v>
      </c>
      <c r="E20" s="110">
        <v>269839.0</v>
      </c>
      <c r="F20" s="110">
        <v>53500.0</v>
      </c>
      <c r="G20" s="131">
        <f>E20-F20</f>
        <v>216339</v>
      </c>
      <c r="H20" s="111">
        <v>45841.0</v>
      </c>
      <c r="I20" s="111">
        <v>45902.0</v>
      </c>
      <c r="K20" s="134"/>
      <c r="L20" s="19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109" t="s">
        <v>889</v>
      </c>
    </row>
    <row r="22">
      <c r="A22" s="109" t="s">
        <v>890</v>
      </c>
    </row>
    <row r="23">
      <c r="A23" s="121" t="s">
        <v>397</v>
      </c>
    </row>
    <row r="24">
      <c r="A24" s="121" t="s">
        <v>402</v>
      </c>
    </row>
    <row r="25">
      <c r="A25" s="109" t="s">
        <v>891</v>
      </c>
    </row>
    <row r="26">
      <c r="A26" s="109" t="s">
        <v>892</v>
      </c>
    </row>
    <row r="27">
      <c r="A27" s="109" t="s">
        <v>256</v>
      </c>
    </row>
    <row r="28">
      <c r="A28" s="109" t="s">
        <v>452</v>
      </c>
    </row>
    <row r="29">
      <c r="A29" s="121" t="s">
        <v>458</v>
      </c>
    </row>
    <row r="30">
      <c r="A30" s="109" t="s">
        <v>893</v>
      </c>
    </row>
    <row r="31">
      <c r="A31" s="121" t="s">
        <v>563</v>
      </c>
    </row>
    <row r="32">
      <c r="A32" s="109" t="s">
        <v>894</v>
      </c>
    </row>
    <row r="33">
      <c r="A33" s="121" t="s">
        <v>667</v>
      </c>
    </row>
    <row r="34">
      <c r="A34" s="109" t="s">
        <v>881</v>
      </c>
    </row>
    <row r="35">
      <c r="A35" s="109" t="s">
        <v>576</v>
      </c>
    </row>
    <row r="36">
      <c r="A36" s="123" t="s">
        <v>125</v>
      </c>
    </row>
    <row r="37">
      <c r="A37" s="109" t="s">
        <v>895</v>
      </c>
    </row>
    <row r="38">
      <c r="A38" s="135" t="s">
        <v>98</v>
      </c>
    </row>
    <row r="39">
      <c r="A39" s="136" t="s">
        <v>896</v>
      </c>
    </row>
    <row r="40">
      <c r="A40" s="136" t="s">
        <v>299</v>
      </c>
    </row>
    <row r="41">
      <c r="A41" s="137" t="s">
        <v>129</v>
      </c>
    </row>
    <row r="42">
      <c r="A42" s="137" t="s">
        <v>597</v>
      </c>
    </row>
    <row r="43">
      <c r="A43" s="135" t="s">
        <v>227</v>
      </c>
    </row>
    <row r="44">
      <c r="A44" s="137" t="s">
        <v>157</v>
      </c>
    </row>
    <row r="45">
      <c r="A45" s="135" t="s">
        <v>305</v>
      </c>
    </row>
    <row r="46">
      <c r="A46" s="137" t="s">
        <v>383</v>
      </c>
    </row>
    <row r="47">
      <c r="A47" s="138" t="s">
        <v>286</v>
      </c>
    </row>
    <row r="48">
      <c r="A48" s="137" t="s">
        <v>395</v>
      </c>
    </row>
    <row r="49">
      <c r="A49" s="137" t="s">
        <v>375</v>
      </c>
    </row>
    <row r="50">
      <c r="A50" s="137" t="s">
        <v>629</v>
      </c>
    </row>
    <row r="51">
      <c r="A51" s="121" t="s">
        <v>410</v>
      </c>
    </row>
    <row r="52">
      <c r="A52" s="139" t="s">
        <v>542</v>
      </c>
    </row>
    <row r="53">
      <c r="A53" s="139" t="s">
        <v>447</v>
      </c>
    </row>
    <row r="54">
      <c r="A54" s="63" t="s">
        <v>688</v>
      </c>
    </row>
    <row r="55">
      <c r="A55" s="109" t="s">
        <v>697</v>
      </c>
    </row>
    <row r="56">
      <c r="A56" s="109" t="s">
        <v>694</v>
      </c>
    </row>
    <row r="57">
      <c r="A57" s="136" t="s">
        <v>691</v>
      </c>
    </row>
    <row r="58">
      <c r="A58" s="13" t="s">
        <v>580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8.38"/>
    <col customWidth="1" min="3" max="3" width="20.38"/>
    <col customWidth="1" min="4" max="4" width="12.25"/>
    <col customWidth="1" min="5" max="5" width="15.38"/>
    <col customWidth="1" min="6" max="7" width="14.63"/>
    <col customWidth="1" min="8" max="8" width="16.5"/>
    <col customWidth="1" min="11" max="11" width="7.0"/>
    <col customWidth="1" min="12" max="12" width="6.75"/>
    <col customWidth="1" min="13" max="13" width="5.63"/>
    <col customWidth="1" min="14" max="14" width="7.0"/>
  </cols>
  <sheetData>
    <row r="1">
      <c r="A1" s="140" t="s">
        <v>89</v>
      </c>
      <c r="B1" s="140" t="s">
        <v>870</v>
      </c>
      <c r="C1" s="140" t="s">
        <v>897</v>
      </c>
      <c r="D1" s="141" t="s">
        <v>898</v>
      </c>
      <c r="E1" s="142" t="s">
        <v>899</v>
      </c>
      <c r="F1" s="143" t="s">
        <v>874</v>
      </c>
      <c r="G1" s="143" t="s">
        <v>875</v>
      </c>
      <c r="H1" s="141" t="s">
        <v>900</v>
      </c>
      <c r="I1" s="141" t="s">
        <v>95</v>
      </c>
      <c r="J1" s="143" t="s">
        <v>901</v>
      </c>
      <c r="K1" s="144"/>
      <c r="L1" s="144"/>
      <c r="M1" s="144"/>
      <c r="N1" s="144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</row>
    <row r="2">
      <c r="A2" s="13" t="s">
        <v>98</v>
      </c>
      <c r="B2" s="14">
        <v>7.81982498E8</v>
      </c>
      <c r="C2" s="13" t="s">
        <v>45</v>
      </c>
      <c r="D2" s="25">
        <v>400000.0</v>
      </c>
      <c r="E2" s="19">
        <v>520000.0</v>
      </c>
      <c r="F2" s="19"/>
      <c r="G2" s="54">
        <f t="shared" ref="G2:G20" si="1">E2-F2</f>
        <v>520000</v>
      </c>
      <c r="H2" s="145">
        <v>173000.0</v>
      </c>
      <c r="I2" s="27">
        <v>45951.0</v>
      </c>
      <c r="J2" s="27">
        <v>45982.0</v>
      </c>
      <c r="K2" s="144"/>
      <c r="L2" s="144"/>
      <c r="M2" s="144"/>
      <c r="N2" s="144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</row>
    <row r="3">
      <c r="A3" s="63" t="s">
        <v>688</v>
      </c>
      <c r="B3" s="63">
        <v>7.78893717E8</v>
      </c>
      <c r="C3" s="63" t="s">
        <v>45</v>
      </c>
      <c r="D3" s="19">
        <v>300000.0</v>
      </c>
      <c r="E3" s="61">
        <v>400000.0</v>
      </c>
      <c r="F3" s="61">
        <v>97008.0</v>
      </c>
      <c r="G3" s="54">
        <f t="shared" si="1"/>
        <v>302992</v>
      </c>
      <c r="H3" s="19">
        <v>13600.0</v>
      </c>
      <c r="I3" s="81" t="s">
        <v>690</v>
      </c>
      <c r="J3" s="146">
        <v>45949.0</v>
      </c>
      <c r="K3" s="147"/>
      <c r="L3" s="147"/>
      <c r="M3" s="147"/>
      <c r="N3" s="147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99" t="s">
        <v>699</v>
      </c>
      <c r="B4" s="99">
        <v>7.87302115E8</v>
      </c>
      <c r="C4" s="99" t="s">
        <v>693</v>
      </c>
      <c r="D4" s="16">
        <v>540000.0</v>
      </c>
      <c r="E4" s="9">
        <v>540000.0</v>
      </c>
      <c r="F4" s="16">
        <v>220600.0</v>
      </c>
      <c r="G4" s="54">
        <f t="shared" si="1"/>
        <v>319400</v>
      </c>
      <c r="H4" s="148">
        <v>18000.0</v>
      </c>
      <c r="I4" s="149">
        <v>45894.0</v>
      </c>
      <c r="J4" s="150">
        <v>45925.0</v>
      </c>
      <c r="K4" s="147"/>
      <c r="L4" s="147"/>
      <c r="M4" s="147"/>
      <c r="N4" s="147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7" t="s">
        <v>117</v>
      </c>
      <c r="B5" s="7">
        <v>7.70165618E8</v>
      </c>
      <c r="C5" s="7" t="s">
        <v>45</v>
      </c>
      <c r="D5" s="16">
        <v>130000.0</v>
      </c>
      <c r="E5" s="16">
        <v>130000.0</v>
      </c>
      <c r="F5" s="16">
        <v>36000.0</v>
      </c>
      <c r="G5" s="54">
        <f t="shared" si="1"/>
        <v>94000</v>
      </c>
      <c r="H5" s="148">
        <v>13667.0</v>
      </c>
      <c r="I5" s="150">
        <v>45897.0</v>
      </c>
      <c r="J5" s="151" t="s">
        <v>119</v>
      </c>
      <c r="K5" s="147"/>
      <c r="L5" s="147"/>
      <c r="M5" s="147"/>
      <c r="N5" s="147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19" t="s">
        <v>84</v>
      </c>
      <c r="B6" s="19">
        <v>7.70432534E8</v>
      </c>
      <c r="C6" s="19" t="s">
        <v>60</v>
      </c>
      <c r="D6" s="19">
        <v>800000.0</v>
      </c>
      <c r="E6" s="61">
        <v>1427000.0</v>
      </c>
      <c r="F6" s="61">
        <v>27000.0</v>
      </c>
      <c r="G6" s="54">
        <f t="shared" si="1"/>
        <v>1400000</v>
      </c>
      <c r="H6" s="19">
        <v>22867.0</v>
      </c>
      <c r="I6" s="81" t="s">
        <v>804</v>
      </c>
      <c r="J6" s="81" t="s">
        <v>805</v>
      </c>
      <c r="K6" s="147"/>
      <c r="L6" s="147"/>
      <c r="M6" s="147"/>
      <c r="N6" s="147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24" t="s">
        <v>125</v>
      </c>
      <c r="B7" s="24">
        <v>7.68177586E8</v>
      </c>
      <c r="C7" s="19" t="s">
        <v>26</v>
      </c>
      <c r="D7" s="19">
        <v>300000.0</v>
      </c>
      <c r="E7" s="61">
        <v>420000.0</v>
      </c>
      <c r="F7" s="61">
        <v>49000.0</v>
      </c>
      <c r="G7" s="54">
        <f t="shared" si="1"/>
        <v>371000</v>
      </c>
      <c r="H7" s="19">
        <v>19000.0</v>
      </c>
      <c r="I7" s="53">
        <v>45947.0</v>
      </c>
      <c r="J7" s="53">
        <v>45978.0</v>
      </c>
      <c r="K7" s="147"/>
      <c r="L7" s="147"/>
      <c r="M7" s="147"/>
      <c r="N7" s="147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63" t="s">
        <v>711</v>
      </c>
      <c r="B8" s="63">
        <v>7.5575205E8</v>
      </c>
      <c r="C8" s="19" t="s">
        <v>713</v>
      </c>
      <c r="D8" s="19">
        <v>400000.0</v>
      </c>
      <c r="E8" s="61">
        <v>420000.0</v>
      </c>
      <c r="F8" s="61">
        <v>49000.0</v>
      </c>
      <c r="G8" s="54">
        <f t="shared" si="1"/>
        <v>371000</v>
      </c>
      <c r="H8" s="19">
        <v>13667.0</v>
      </c>
      <c r="I8" s="81" t="s">
        <v>902</v>
      </c>
      <c r="J8" s="85">
        <v>45933.0</v>
      </c>
      <c r="K8" s="147"/>
      <c r="L8" s="147"/>
      <c r="M8" s="147"/>
      <c r="N8" s="147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3" t="s">
        <v>129</v>
      </c>
      <c r="B9" s="33">
        <v>7.4127759E8</v>
      </c>
      <c r="C9" s="3" t="s">
        <v>131</v>
      </c>
      <c r="D9" s="47">
        <v>500000.0</v>
      </c>
      <c r="E9" s="26">
        <v>650000.0</v>
      </c>
      <c r="F9" s="61">
        <v>650000.0</v>
      </c>
      <c r="G9" s="54">
        <f t="shared" si="1"/>
        <v>0</v>
      </c>
      <c r="H9" s="152">
        <v>21667.0</v>
      </c>
      <c r="I9" s="146">
        <v>45819.0</v>
      </c>
      <c r="J9" s="146">
        <v>45849.0</v>
      </c>
      <c r="K9" s="147"/>
      <c r="L9" s="147"/>
      <c r="M9" s="147"/>
      <c r="N9" s="147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19" t="s">
        <v>903</v>
      </c>
      <c r="B10" s="19">
        <v>7.7631342E8</v>
      </c>
      <c r="C10" s="19" t="s">
        <v>45</v>
      </c>
      <c r="D10" s="19">
        <v>200000.0</v>
      </c>
      <c r="E10" s="61">
        <v>260000.0</v>
      </c>
      <c r="F10" s="61">
        <v>201500.0</v>
      </c>
      <c r="G10" s="54">
        <f t="shared" si="1"/>
        <v>58500</v>
      </c>
      <c r="H10" s="19">
        <v>8700.0</v>
      </c>
      <c r="I10" s="53">
        <v>45860.0</v>
      </c>
      <c r="J10" s="53">
        <v>45891.0</v>
      </c>
      <c r="K10" s="147"/>
      <c r="L10" s="147"/>
      <c r="M10" s="147"/>
      <c r="N10" s="147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3" t="s">
        <v>157</v>
      </c>
      <c r="B11" s="33">
        <v>7.01968187E8</v>
      </c>
      <c r="C11" s="3" t="s">
        <v>131</v>
      </c>
      <c r="D11" s="47">
        <v>400000.0</v>
      </c>
      <c r="E11" s="153">
        <v>520000.0</v>
      </c>
      <c r="F11" s="61">
        <v>254400.0</v>
      </c>
      <c r="G11" s="54">
        <f t="shared" si="1"/>
        <v>265600</v>
      </c>
      <c r="H11" s="19">
        <v>17400.0</v>
      </c>
      <c r="I11" s="146">
        <v>45819.0</v>
      </c>
      <c r="J11" s="146">
        <v>45849.0</v>
      </c>
      <c r="K11" s="147"/>
      <c r="L11" s="147"/>
      <c r="M11" s="147"/>
      <c r="N11" s="147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4" t="s">
        <v>159</v>
      </c>
      <c r="B12" s="24">
        <v>7.85819584E8</v>
      </c>
      <c r="C12" s="43" t="s">
        <v>45</v>
      </c>
      <c r="D12" s="19">
        <v>500000.0</v>
      </c>
      <c r="E12" s="61">
        <v>845000.0</v>
      </c>
      <c r="F12" s="61">
        <v>845000.0</v>
      </c>
      <c r="G12" s="54">
        <f t="shared" si="1"/>
        <v>0</v>
      </c>
      <c r="H12" s="19">
        <v>13000.0</v>
      </c>
      <c r="I12" s="154" t="s">
        <v>904</v>
      </c>
      <c r="J12" s="154" t="s">
        <v>905</v>
      </c>
      <c r="K12" s="147"/>
      <c r="L12" s="147"/>
      <c r="M12" s="147"/>
      <c r="N12" s="147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>
      <c r="A13" s="66" t="s">
        <v>161</v>
      </c>
      <c r="B13" s="44">
        <v>7.45683778E8</v>
      </c>
      <c r="C13" s="19" t="s">
        <v>906</v>
      </c>
      <c r="D13" s="61">
        <v>300000.0</v>
      </c>
      <c r="E13" s="61">
        <v>390000.0</v>
      </c>
      <c r="F13" s="19">
        <v>324000.0</v>
      </c>
      <c r="G13" s="54">
        <f t="shared" si="1"/>
        <v>66000</v>
      </c>
      <c r="H13" s="19">
        <v>13000.0</v>
      </c>
      <c r="I13" s="155">
        <v>45850.0</v>
      </c>
      <c r="J13" s="156">
        <v>45881.0</v>
      </c>
      <c r="K13" s="147"/>
      <c r="L13" s="147"/>
      <c r="M13" s="157" t="s">
        <v>907</v>
      </c>
      <c r="N13" s="147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19" t="s">
        <v>880</v>
      </c>
      <c r="B14" s="19">
        <v>7.77829094E8</v>
      </c>
      <c r="C14" s="19" t="s">
        <v>693</v>
      </c>
      <c r="D14" s="61">
        <v>947000.0</v>
      </c>
      <c r="E14" s="61">
        <v>1251100.0</v>
      </c>
      <c r="F14" s="61">
        <v>1251100.0</v>
      </c>
      <c r="G14" s="54">
        <f t="shared" si="1"/>
        <v>0</v>
      </c>
      <c r="H14" s="57">
        <v>0.0</v>
      </c>
      <c r="I14" s="158">
        <v>45780.0</v>
      </c>
      <c r="J14" s="46">
        <v>45811.0</v>
      </c>
      <c r="K14" s="147"/>
      <c r="L14" s="147"/>
      <c r="M14" s="147"/>
      <c r="N14" s="147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15" t="s">
        <v>908</v>
      </c>
      <c r="B15" s="12">
        <v>7.42766135E8</v>
      </c>
      <c r="C15" s="15" t="s">
        <v>909</v>
      </c>
      <c r="D15" s="159">
        <v>200000.0</v>
      </c>
      <c r="E15" s="54">
        <v>260000.0</v>
      </c>
      <c r="F15" s="54">
        <v>220000.0</v>
      </c>
      <c r="G15" s="54">
        <f t="shared" si="1"/>
        <v>40000</v>
      </c>
      <c r="H15" s="57">
        <v>8700.0</v>
      </c>
      <c r="I15" s="46">
        <v>45821.0</v>
      </c>
      <c r="J15" s="158">
        <v>45851.0</v>
      </c>
      <c r="K15" s="157"/>
      <c r="L15" s="147"/>
      <c r="M15" s="157" t="s">
        <v>907</v>
      </c>
      <c r="N15" s="147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7" t="s">
        <v>199</v>
      </c>
      <c r="B16" s="7">
        <v>7.68965408E8</v>
      </c>
      <c r="C16" s="7" t="s">
        <v>26</v>
      </c>
      <c r="D16" s="9">
        <v>450000.0</v>
      </c>
      <c r="E16" s="9">
        <v>760500.0000000001</v>
      </c>
      <c r="F16" s="16">
        <v>30000.0</v>
      </c>
      <c r="G16" s="54">
        <f t="shared" si="1"/>
        <v>730500</v>
      </c>
      <c r="H16" s="148">
        <v>12675.0</v>
      </c>
      <c r="I16" s="160">
        <v>45821.0</v>
      </c>
      <c r="J16" s="161">
        <v>45913.0</v>
      </c>
      <c r="K16" s="147"/>
      <c r="L16" s="147"/>
      <c r="M16" s="147"/>
      <c r="N16" s="147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>
      <c r="A17" s="99" t="s">
        <v>213</v>
      </c>
      <c r="B17" s="99">
        <v>7.857111E8</v>
      </c>
      <c r="C17" s="99" t="s">
        <v>26</v>
      </c>
      <c r="D17" s="99">
        <v>800000.0</v>
      </c>
      <c r="E17" s="22">
        <v>1521000.0</v>
      </c>
      <c r="F17" s="99">
        <v>179000.0</v>
      </c>
      <c r="G17" s="54">
        <f t="shared" si="1"/>
        <v>1342000</v>
      </c>
      <c r="H17" s="57">
        <v>25400.0</v>
      </c>
      <c r="I17" s="53">
        <v>45849.0</v>
      </c>
      <c r="J17" s="57" t="s">
        <v>738</v>
      </c>
      <c r="K17" s="147"/>
      <c r="L17" s="147"/>
      <c r="M17" s="147"/>
      <c r="N17" s="147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13" t="s">
        <v>227</v>
      </c>
      <c r="B18" s="14">
        <v>7.05508169E8</v>
      </c>
      <c r="C18" s="13" t="s">
        <v>60</v>
      </c>
      <c r="D18" s="25">
        <v>399000.0</v>
      </c>
      <c r="E18" s="153">
        <v>674310.0000000001</v>
      </c>
      <c r="F18" s="61">
        <v>55000.0</v>
      </c>
      <c r="G18" s="54">
        <f t="shared" si="1"/>
        <v>619310</v>
      </c>
      <c r="H18" s="28">
        <v>11200.0</v>
      </c>
      <c r="I18" s="146">
        <v>45853.0</v>
      </c>
      <c r="J18" s="146">
        <v>45884.0</v>
      </c>
      <c r="K18" s="147"/>
      <c r="L18" s="147"/>
      <c r="M18" s="147"/>
      <c r="N18" s="147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>
      <c r="A19" s="63" t="s">
        <v>701</v>
      </c>
      <c r="B19" s="63">
        <v>7.0179788E8</v>
      </c>
      <c r="C19" s="63" t="s">
        <v>693</v>
      </c>
      <c r="D19" s="64">
        <v>560000.0</v>
      </c>
      <c r="E19" s="22">
        <v>560000.0</v>
      </c>
      <c r="F19" s="61">
        <v>30000.0</v>
      </c>
      <c r="G19" s="54">
        <f t="shared" si="1"/>
        <v>530000</v>
      </c>
      <c r="H19" s="19">
        <v>16107.0</v>
      </c>
      <c r="I19" s="32">
        <v>45893.0</v>
      </c>
      <c r="J19" s="27">
        <v>45985.0</v>
      </c>
      <c r="K19" s="147"/>
      <c r="L19" s="147"/>
      <c r="M19" s="147"/>
      <c r="N19" s="147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99" t="s">
        <v>725</v>
      </c>
      <c r="B20" s="99">
        <v>7.04420892E8</v>
      </c>
      <c r="C20" s="99" t="s">
        <v>727</v>
      </c>
      <c r="D20" s="16">
        <v>300000.0</v>
      </c>
      <c r="E20" s="9">
        <v>410000.0</v>
      </c>
      <c r="F20" s="16">
        <v>241000.0</v>
      </c>
      <c r="G20" s="54">
        <f t="shared" si="1"/>
        <v>169000</v>
      </c>
      <c r="H20" s="148">
        <v>13667.0</v>
      </c>
      <c r="I20" s="151" t="s">
        <v>728</v>
      </c>
      <c r="J20" s="162">
        <v>45935.0</v>
      </c>
      <c r="K20" s="147"/>
      <c r="L20" s="147"/>
      <c r="M20" s="147"/>
      <c r="N20" s="147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>
      <c r="A21" s="43" t="s">
        <v>248</v>
      </c>
      <c r="B21" s="44">
        <v>7.52467521E8</v>
      </c>
      <c r="C21" s="19" t="s">
        <v>123</v>
      </c>
      <c r="D21" s="61">
        <v>100000.0</v>
      </c>
      <c r="E21" s="61">
        <v>130000.0</v>
      </c>
      <c r="F21" s="19">
        <v>128000.0</v>
      </c>
      <c r="G21" s="54">
        <v>0.0</v>
      </c>
      <c r="H21" s="57">
        <v>0.0</v>
      </c>
      <c r="I21" s="53">
        <v>45846.0</v>
      </c>
      <c r="J21" s="52">
        <v>45877.0</v>
      </c>
      <c r="K21" s="147"/>
      <c r="L21" s="147"/>
      <c r="M21" s="147"/>
      <c r="N21" s="147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19" t="s">
        <v>253</v>
      </c>
      <c r="B22" s="19">
        <v>7.41785784E8</v>
      </c>
      <c r="C22" s="19" t="s">
        <v>26</v>
      </c>
      <c r="D22" s="61">
        <v>675000.0</v>
      </c>
      <c r="E22" s="61">
        <v>1557975.0</v>
      </c>
      <c r="F22" s="61">
        <v>140000.0</v>
      </c>
      <c r="G22" s="54">
        <f t="shared" ref="G22:G49" si="2">E22-F22</f>
        <v>1417975</v>
      </c>
      <c r="H22" s="152">
        <v>19000.0</v>
      </c>
      <c r="I22" s="53">
        <v>45859.0</v>
      </c>
      <c r="J22" s="53">
        <v>45860.0</v>
      </c>
      <c r="K22" s="147"/>
      <c r="L22" s="147"/>
      <c r="M22" s="147"/>
      <c r="N22" s="147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99" t="s">
        <v>729</v>
      </c>
      <c r="C23" s="99" t="s">
        <v>234</v>
      </c>
      <c r="D23" s="16">
        <v>600000.0</v>
      </c>
      <c r="E23" s="9">
        <v>1034000.0000000001</v>
      </c>
      <c r="F23" s="16">
        <v>26000.0</v>
      </c>
      <c r="G23" s="54">
        <f t="shared" si="2"/>
        <v>1008000</v>
      </c>
      <c r="H23" s="148">
        <v>17233.0</v>
      </c>
      <c r="I23" s="151" t="s">
        <v>731</v>
      </c>
      <c r="J23" s="162">
        <v>45966.0</v>
      </c>
      <c r="K23" s="147"/>
      <c r="L23" s="147"/>
      <c r="M23" s="147"/>
      <c r="N23" s="147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43" t="s">
        <v>255</v>
      </c>
      <c r="B24" s="44">
        <v>7.67639022E8</v>
      </c>
      <c r="C24" s="43" t="s">
        <v>257</v>
      </c>
      <c r="D24" s="22">
        <v>912000.0</v>
      </c>
      <c r="E24" s="61">
        <v>1889365.0</v>
      </c>
      <c r="F24" s="19">
        <v>460000.0</v>
      </c>
      <c r="G24" s="54">
        <f t="shared" si="2"/>
        <v>1429365</v>
      </c>
      <c r="H24" s="19">
        <v>22300.0</v>
      </c>
      <c r="I24" s="156">
        <v>45848.0</v>
      </c>
      <c r="J24" s="156">
        <v>45940.0</v>
      </c>
      <c r="K24" s="147"/>
      <c r="L24" s="147"/>
      <c r="M24" s="147"/>
      <c r="N24" s="147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63" t="s">
        <v>703</v>
      </c>
      <c r="B25" s="63">
        <v>7.63028204E8</v>
      </c>
      <c r="C25" s="19" t="s">
        <v>693</v>
      </c>
      <c r="D25" s="19">
        <v>1034000.0</v>
      </c>
      <c r="E25" s="61">
        <v>1034000.0</v>
      </c>
      <c r="F25" s="61">
        <v>44000.0</v>
      </c>
      <c r="G25" s="54">
        <f t="shared" si="2"/>
        <v>990000</v>
      </c>
      <c r="H25" s="19">
        <v>10000.0</v>
      </c>
      <c r="I25" s="85">
        <v>45895.0</v>
      </c>
      <c r="J25" s="85">
        <v>45956.0</v>
      </c>
      <c r="K25" s="147"/>
      <c r="L25" s="147"/>
      <c r="M25" s="147"/>
      <c r="N25" s="147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19" t="s">
        <v>910</v>
      </c>
      <c r="B26" s="19">
        <v>7.66128742E8</v>
      </c>
      <c r="C26" s="19" t="s">
        <v>26</v>
      </c>
      <c r="D26" s="19">
        <v>1200000.0</v>
      </c>
      <c r="E26" s="61">
        <v>1560000.0</v>
      </c>
      <c r="F26" s="61">
        <v>560000.0</v>
      </c>
      <c r="G26" s="54">
        <f t="shared" si="2"/>
        <v>1000000</v>
      </c>
      <c r="H26" s="152">
        <v>19000.0</v>
      </c>
      <c r="I26" s="53">
        <v>45856.0</v>
      </c>
      <c r="J26" s="53">
        <v>45861.0</v>
      </c>
      <c r="K26" s="147"/>
      <c r="L26" s="147"/>
      <c r="M26" s="147"/>
      <c r="N26" s="147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43" t="s">
        <v>269</v>
      </c>
      <c r="B27" s="44">
        <v>7.55664324E8</v>
      </c>
      <c r="C27" s="43" t="s">
        <v>26</v>
      </c>
      <c r="D27" s="22">
        <v>352000.0</v>
      </c>
      <c r="E27" s="61">
        <v>594900.0</v>
      </c>
      <c r="F27" s="61">
        <v>241000.0</v>
      </c>
      <c r="G27" s="54">
        <f t="shared" si="2"/>
        <v>353900</v>
      </c>
      <c r="H27" s="19">
        <v>9900.0</v>
      </c>
      <c r="I27" s="53">
        <v>45855.0</v>
      </c>
      <c r="J27" s="53">
        <v>45917.0</v>
      </c>
      <c r="K27" s="147"/>
      <c r="L27" s="147"/>
      <c r="M27" s="147"/>
      <c r="N27" s="147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99" t="s">
        <v>274</v>
      </c>
      <c r="B28" s="99">
        <v>7.08250755E8</v>
      </c>
      <c r="C28" s="99" t="s">
        <v>26</v>
      </c>
      <c r="D28" s="99">
        <v>639000.0</v>
      </c>
      <c r="E28" s="9">
        <v>830700.0</v>
      </c>
      <c r="F28" s="99">
        <v>528000.0</v>
      </c>
      <c r="G28" s="54">
        <f t="shared" si="2"/>
        <v>302700</v>
      </c>
      <c r="H28" s="57">
        <v>27700.0</v>
      </c>
      <c r="I28" s="53">
        <v>45849.0</v>
      </c>
      <c r="J28" s="53">
        <v>45880.0</v>
      </c>
      <c r="K28" s="147"/>
      <c r="L28" s="147"/>
      <c r="M28" s="157" t="s">
        <v>907</v>
      </c>
      <c r="N28" s="147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45" t="s">
        <v>286</v>
      </c>
      <c r="B29" s="58">
        <v>7.78350334E8</v>
      </c>
      <c r="C29" s="45" t="s">
        <v>26</v>
      </c>
      <c r="D29" s="61">
        <v>1109100.0</v>
      </c>
      <c r="E29" s="153">
        <v>1874379.0000000002</v>
      </c>
      <c r="F29" s="61">
        <v>55000.0</v>
      </c>
      <c r="G29" s="54">
        <f t="shared" si="2"/>
        <v>1819379</v>
      </c>
      <c r="H29" s="19">
        <v>31300.0</v>
      </c>
      <c r="I29" s="146">
        <v>45822.0</v>
      </c>
      <c r="J29" s="146">
        <v>45852.0</v>
      </c>
      <c r="K29" s="147"/>
      <c r="L29" s="147"/>
      <c r="M29" s="147"/>
      <c r="N29" s="147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43" t="s">
        <v>298</v>
      </c>
      <c r="B30" s="44">
        <v>7.05194015E8</v>
      </c>
      <c r="C30" s="99" t="s">
        <v>887</v>
      </c>
      <c r="D30" s="16">
        <v>84000.0</v>
      </c>
      <c r="E30" s="16">
        <v>97400.0</v>
      </c>
      <c r="F30" s="99">
        <v>83000.0</v>
      </c>
      <c r="G30" s="54">
        <f t="shared" si="2"/>
        <v>14400</v>
      </c>
      <c r="H30" s="57">
        <v>4500.0</v>
      </c>
      <c r="I30" s="46">
        <v>45775.0</v>
      </c>
      <c r="J30" s="158">
        <v>45805.0</v>
      </c>
      <c r="K30" s="147"/>
      <c r="L30" s="147"/>
      <c r="M30" s="147"/>
      <c r="N30" s="147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63" t="s">
        <v>299</v>
      </c>
      <c r="B31" s="63">
        <v>7.59336805E8</v>
      </c>
      <c r="C31" s="145" t="s">
        <v>911</v>
      </c>
      <c r="D31" s="145">
        <v>410000.0</v>
      </c>
      <c r="E31" s="145">
        <v>440000.0</v>
      </c>
      <c r="F31" s="145">
        <v>298000.0</v>
      </c>
      <c r="G31" s="54">
        <f t="shared" si="2"/>
        <v>142000</v>
      </c>
      <c r="H31" s="145">
        <v>13000.0</v>
      </c>
      <c r="I31" s="146">
        <v>45875.0</v>
      </c>
      <c r="J31" s="146">
        <v>45906.0</v>
      </c>
      <c r="K31" s="144"/>
      <c r="L31" s="144"/>
      <c r="M31" s="144"/>
      <c r="N31" s="144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  <row r="32">
      <c r="A32" s="7" t="s">
        <v>302</v>
      </c>
      <c r="B32" s="7">
        <v>7.7631342E8</v>
      </c>
      <c r="C32" s="7" t="s">
        <v>45</v>
      </c>
      <c r="D32" s="16">
        <v>200000.0</v>
      </c>
      <c r="E32" s="9">
        <v>260000.0</v>
      </c>
      <c r="F32" s="16">
        <v>260000.0</v>
      </c>
      <c r="G32" s="54">
        <f t="shared" si="2"/>
        <v>0</v>
      </c>
      <c r="H32" s="148">
        <v>8700.0</v>
      </c>
      <c r="I32" s="150">
        <v>45877.0</v>
      </c>
      <c r="J32" s="150">
        <v>45908.0</v>
      </c>
      <c r="K32" s="147"/>
      <c r="L32" s="147"/>
      <c r="M32" s="147"/>
      <c r="N32" s="147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13" t="s">
        <v>305</v>
      </c>
      <c r="B33" s="14">
        <v>7.00865695E8</v>
      </c>
      <c r="C33" s="13" t="s">
        <v>57</v>
      </c>
      <c r="D33" s="19">
        <v>300000.0</v>
      </c>
      <c r="E33" s="61">
        <v>471000.0</v>
      </c>
      <c r="F33" s="61">
        <v>231000.0</v>
      </c>
      <c r="G33" s="54">
        <f t="shared" si="2"/>
        <v>240000</v>
      </c>
      <c r="H33" s="19">
        <v>17300.0</v>
      </c>
      <c r="I33" s="146">
        <v>45797.0</v>
      </c>
      <c r="J33" s="146">
        <v>45828.0</v>
      </c>
      <c r="K33" s="147"/>
      <c r="L33" s="147"/>
      <c r="M33" s="147"/>
      <c r="N33" s="147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43" t="s">
        <v>311</v>
      </c>
      <c r="B34" s="44">
        <v>7.66085588E8</v>
      </c>
      <c r="C34" s="19" t="s">
        <v>906</v>
      </c>
      <c r="D34" s="61">
        <v>300000.0</v>
      </c>
      <c r="E34" s="61">
        <v>280000.0</v>
      </c>
      <c r="F34" s="19">
        <v>138500.0</v>
      </c>
      <c r="G34" s="54">
        <f t="shared" si="2"/>
        <v>141500</v>
      </c>
      <c r="H34" s="19">
        <v>13000.0</v>
      </c>
      <c r="I34" s="156">
        <v>45850.0</v>
      </c>
      <c r="J34" s="156">
        <v>45881.0</v>
      </c>
      <c r="K34" s="147"/>
      <c r="L34" s="147"/>
      <c r="M34" s="157" t="s">
        <v>907</v>
      </c>
      <c r="N34" s="147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19" t="s">
        <v>883</v>
      </c>
      <c r="B35" s="19">
        <v>7.88081442E8</v>
      </c>
      <c r="C35" s="19" t="s">
        <v>884</v>
      </c>
      <c r="D35" s="61">
        <v>747000.0</v>
      </c>
      <c r="E35" s="61">
        <v>1253914.0</v>
      </c>
      <c r="F35" s="61">
        <v>294000.0</v>
      </c>
      <c r="G35" s="54">
        <f t="shared" si="2"/>
        <v>959914</v>
      </c>
      <c r="H35" s="19">
        <v>19700.0</v>
      </c>
      <c r="I35" s="156">
        <v>45842.0</v>
      </c>
      <c r="J35" s="156">
        <v>45904.0</v>
      </c>
      <c r="K35" s="163"/>
      <c r="L35" s="163"/>
      <c r="M35" s="163"/>
      <c r="N35" s="163"/>
    </row>
    <row r="36">
      <c r="A36" s="19" t="s">
        <v>889</v>
      </c>
      <c r="B36" s="19">
        <v>7.48320604E8</v>
      </c>
      <c r="C36" s="19" t="s">
        <v>912</v>
      </c>
      <c r="D36" s="61">
        <v>200000.0</v>
      </c>
      <c r="E36" s="61">
        <v>338000.0</v>
      </c>
      <c r="F36" s="61">
        <v>269800.0</v>
      </c>
      <c r="G36" s="54">
        <f t="shared" si="2"/>
        <v>68200</v>
      </c>
      <c r="H36" s="57">
        <v>5700.0</v>
      </c>
      <c r="I36" s="46">
        <v>45819.0</v>
      </c>
      <c r="J36" s="158">
        <v>45849.0</v>
      </c>
      <c r="K36" s="147"/>
      <c r="L36" s="147"/>
      <c r="M36" s="147"/>
      <c r="N36" s="147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63" t="s">
        <v>691</v>
      </c>
      <c r="B37" s="63">
        <v>7.56219795E8</v>
      </c>
      <c r="C37" s="63" t="s">
        <v>693</v>
      </c>
      <c r="D37" s="64">
        <v>1200000.0</v>
      </c>
      <c r="E37" s="61">
        <v>1580000.0</v>
      </c>
      <c r="F37" s="61">
        <v>226000.0</v>
      </c>
      <c r="G37" s="54">
        <f t="shared" si="2"/>
        <v>1354000</v>
      </c>
      <c r="H37" s="19">
        <v>0.0</v>
      </c>
      <c r="I37" s="28" t="s">
        <v>913</v>
      </c>
      <c r="J37" s="27">
        <v>45955.0</v>
      </c>
      <c r="K37" s="147"/>
      <c r="L37" s="147"/>
      <c r="M37" s="147"/>
      <c r="N37" s="147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19" t="s">
        <v>890</v>
      </c>
      <c r="B38" s="19">
        <v>7.03073714E8</v>
      </c>
      <c r="C38" s="19" t="s">
        <v>693</v>
      </c>
      <c r="D38" s="61">
        <v>300000.0</v>
      </c>
      <c r="E38" s="61">
        <v>390000.0</v>
      </c>
      <c r="F38" s="61">
        <v>390000.0</v>
      </c>
      <c r="G38" s="54">
        <f t="shared" si="2"/>
        <v>0</v>
      </c>
      <c r="H38" s="57">
        <v>0.0</v>
      </c>
      <c r="I38" s="46">
        <v>45827.0</v>
      </c>
      <c r="J38" s="158">
        <v>45888.0</v>
      </c>
      <c r="K38" s="147"/>
      <c r="L38" s="147"/>
      <c r="M38" s="147"/>
      <c r="N38" s="147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3" t="s">
        <v>375</v>
      </c>
      <c r="B39" s="164">
        <v>7.58194649E8</v>
      </c>
      <c r="C39" s="3" t="s">
        <v>8</v>
      </c>
      <c r="D39" s="19">
        <v>200000.0</v>
      </c>
      <c r="E39" s="61">
        <v>338000.0</v>
      </c>
      <c r="F39" s="61">
        <v>74000.0</v>
      </c>
      <c r="G39" s="54">
        <f t="shared" si="2"/>
        <v>264000</v>
      </c>
      <c r="H39" s="19">
        <v>5700.0</v>
      </c>
      <c r="I39" s="146">
        <v>45826.0</v>
      </c>
      <c r="J39" s="146">
        <v>45887.0</v>
      </c>
      <c r="K39" s="147"/>
      <c r="L39" s="147"/>
      <c r="M39" s="147"/>
      <c r="N39" s="147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3" t="s">
        <v>383</v>
      </c>
      <c r="B40" s="33">
        <v>7.52952136E8</v>
      </c>
      <c r="C40" s="3" t="s">
        <v>385</v>
      </c>
      <c r="D40" s="47">
        <v>400000.0</v>
      </c>
      <c r="E40" s="153">
        <v>520000.0</v>
      </c>
      <c r="F40" s="61">
        <v>160000.0</v>
      </c>
      <c r="G40" s="54">
        <f t="shared" si="2"/>
        <v>360000</v>
      </c>
      <c r="H40" s="19">
        <v>17400.0</v>
      </c>
      <c r="I40" s="146">
        <v>45827.0</v>
      </c>
      <c r="J40" s="146">
        <v>45857.0</v>
      </c>
      <c r="K40" s="147"/>
      <c r="L40" s="147"/>
      <c r="M40" s="147"/>
      <c r="N40" s="147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3" t="s">
        <v>395</v>
      </c>
      <c r="B41" s="33">
        <v>7.44231431E8</v>
      </c>
      <c r="C41" s="3" t="s">
        <v>114</v>
      </c>
      <c r="D41" s="47">
        <v>300000.0</v>
      </c>
      <c r="E41" s="61">
        <v>525661.0</v>
      </c>
      <c r="F41" s="61">
        <v>65000.0</v>
      </c>
      <c r="G41" s="54">
        <f t="shared" si="2"/>
        <v>460661</v>
      </c>
      <c r="H41" s="19">
        <v>8500.0</v>
      </c>
      <c r="I41" s="146">
        <v>45823.0</v>
      </c>
      <c r="J41" s="146">
        <v>45853.0</v>
      </c>
      <c r="K41" s="147"/>
      <c r="L41" s="147"/>
      <c r="M41" s="147"/>
      <c r="N41" s="147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43" t="s">
        <v>397</v>
      </c>
      <c r="B42" s="44">
        <v>7.06020524E8</v>
      </c>
      <c r="C42" s="43" t="s">
        <v>45</v>
      </c>
      <c r="D42" s="19">
        <v>800000.0</v>
      </c>
      <c r="E42" s="61">
        <v>1040000.0</v>
      </c>
      <c r="F42" s="61">
        <v>1023100.0</v>
      </c>
      <c r="G42" s="54">
        <f t="shared" si="2"/>
        <v>16900</v>
      </c>
      <c r="H42" s="57">
        <v>22600.0</v>
      </c>
      <c r="I42" s="53">
        <v>45846.0</v>
      </c>
      <c r="J42" s="52">
        <v>45908.0</v>
      </c>
      <c r="K42" s="147"/>
      <c r="L42" s="147"/>
      <c r="M42" s="147"/>
      <c r="N42" s="147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43" t="s">
        <v>402</v>
      </c>
      <c r="B43" s="58">
        <v>7.46692404E8</v>
      </c>
      <c r="C43" s="43" t="s">
        <v>26</v>
      </c>
      <c r="D43" s="22">
        <v>1017000.0</v>
      </c>
      <c r="E43" s="61">
        <v>1217439.0</v>
      </c>
      <c r="F43" s="61">
        <v>237000.0</v>
      </c>
      <c r="G43" s="54">
        <f t="shared" si="2"/>
        <v>980439</v>
      </c>
      <c r="H43" s="152">
        <v>24800.0</v>
      </c>
      <c r="I43" s="53">
        <v>45855.0</v>
      </c>
      <c r="J43" s="53">
        <v>45917.0</v>
      </c>
      <c r="K43" s="147"/>
      <c r="L43" s="147"/>
      <c r="M43" s="147"/>
      <c r="N43" s="147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43" t="s">
        <v>410</v>
      </c>
      <c r="B44" s="44">
        <v>7.40270098E8</v>
      </c>
      <c r="C44" s="43" t="s">
        <v>60</v>
      </c>
      <c r="D44" s="22">
        <v>498800.0</v>
      </c>
      <c r="E44" s="61">
        <v>873999.0</v>
      </c>
      <c r="F44" s="61">
        <v>568000.0</v>
      </c>
      <c r="G44" s="54">
        <f t="shared" si="2"/>
        <v>305999</v>
      </c>
      <c r="H44" s="19">
        <v>14000.0</v>
      </c>
      <c r="I44" s="146">
        <v>45847.0</v>
      </c>
      <c r="J44" s="146">
        <v>45909.0</v>
      </c>
      <c r="K44" s="147"/>
      <c r="L44" s="147"/>
      <c r="M44" s="147"/>
      <c r="N44" s="147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19" t="s">
        <v>891</v>
      </c>
      <c r="B45" s="19">
        <v>7.08384002E8</v>
      </c>
      <c r="C45" s="19" t="s">
        <v>911</v>
      </c>
      <c r="D45" s="61">
        <v>1300000.0</v>
      </c>
      <c r="E45" s="61">
        <v>1300000.0</v>
      </c>
      <c r="F45" s="61">
        <v>1300000.0</v>
      </c>
      <c r="G45" s="54">
        <f t="shared" si="2"/>
        <v>0</v>
      </c>
      <c r="H45" s="57">
        <v>23300.0</v>
      </c>
      <c r="I45" s="46">
        <v>45842.0</v>
      </c>
      <c r="J45" s="158">
        <v>45934.0</v>
      </c>
      <c r="K45" s="147"/>
      <c r="L45" s="147"/>
      <c r="M45" s="147"/>
      <c r="N45" s="147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19" t="s">
        <v>892</v>
      </c>
      <c r="B46" s="19">
        <v>7.52759375E8</v>
      </c>
      <c r="C46" s="19" t="s">
        <v>693</v>
      </c>
      <c r="D46" s="61">
        <v>400000.0</v>
      </c>
      <c r="E46" s="61">
        <v>540000.0</v>
      </c>
      <c r="F46" s="61">
        <v>146000.0</v>
      </c>
      <c r="G46" s="54">
        <f t="shared" si="2"/>
        <v>394000</v>
      </c>
      <c r="H46" s="57">
        <v>113000.0</v>
      </c>
      <c r="I46" s="53">
        <v>45937.0</v>
      </c>
      <c r="J46" s="53">
        <v>45968.0</v>
      </c>
      <c r="K46" s="163"/>
      <c r="L46" s="163"/>
      <c r="M46" s="163"/>
      <c r="N46" s="163"/>
    </row>
    <row r="47">
      <c r="A47" s="165" t="s">
        <v>447</v>
      </c>
      <c r="B47" s="166">
        <v>7.89523444E8</v>
      </c>
      <c r="C47" s="165" t="s">
        <v>8</v>
      </c>
      <c r="D47" s="153">
        <v>300000.0</v>
      </c>
      <c r="E47" s="61">
        <v>528000.0</v>
      </c>
      <c r="F47" s="61">
        <v>399500.0</v>
      </c>
      <c r="G47" s="54">
        <f t="shared" si="2"/>
        <v>128500</v>
      </c>
      <c r="H47" s="19">
        <v>8800.0</v>
      </c>
      <c r="I47" s="146">
        <v>45883.0</v>
      </c>
      <c r="J47" s="146">
        <v>45944.0</v>
      </c>
      <c r="K47" s="147"/>
      <c r="L47" s="147"/>
      <c r="M47" s="147"/>
      <c r="N47" s="147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19" t="s">
        <v>256</v>
      </c>
      <c r="B48" s="19">
        <v>7.56015006E8</v>
      </c>
      <c r="C48" s="19" t="s">
        <v>26</v>
      </c>
      <c r="D48" s="61">
        <v>1050600.0</v>
      </c>
      <c r="E48" s="153">
        <v>2308168.2</v>
      </c>
      <c r="F48" s="61">
        <v>52000.0</v>
      </c>
      <c r="G48" s="54">
        <f t="shared" si="2"/>
        <v>2256168.2</v>
      </c>
      <c r="H48" s="152">
        <v>25646.0</v>
      </c>
      <c r="I48" s="53">
        <v>45859.0</v>
      </c>
      <c r="J48" s="53">
        <v>45951.0</v>
      </c>
      <c r="K48" s="163"/>
      <c r="L48" s="163"/>
      <c r="M48" s="163"/>
      <c r="N48" s="163"/>
    </row>
    <row r="49">
      <c r="A49" s="19" t="s">
        <v>452</v>
      </c>
      <c r="B49" s="19">
        <v>7.89744745E8</v>
      </c>
      <c r="C49" s="24" t="s">
        <v>26</v>
      </c>
      <c r="D49" s="167">
        <v>693000.0</v>
      </c>
      <c r="E49" s="153">
        <v>1171170.0000000002</v>
      </c>
      <c r="F49" s="61">
        <v>109000.0</v>
      </c>
      <c r="G49" s="54">
        <f t="shared" si="2"/>
        <v>1062170</v>
      </c>
      <c r="H49" s="19">
        <v>19500.0</v>
      </c>
      <c r="I49" s="168">
        <v>45852.0</v>
      </c>
      <c r="J49" s="169" t="s">
        <v>455</v>
      </c>
      <c r="K49" s="147"/>
      <c r="L49" s="147"/>
      <c r="M49" s="147"/>
      <c r="N49" s="147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43" t="s">
        <v>458</v>
      </c>
      <c r="B50" s="44">
        <v>7.51996928E8</v>
      </c>
      <c r="C50" s="43" t="s">
        <v>114</v>
      </c>
      <c r="D50" s="61">
        <v>600000.0</v>
      </c>
      <c r="E50" s="61">
        <v>1051322.0</v>
      </c>
      <c r="F50" s="61">
        <v>1051000.0</v>
      </c>
      <c r="G50" s="54">
        <v>0.0</v>
      </c>
      <c r="H50" s="57">
        <v>0.0</v>
      </c>
      <c r="I50" s="53">
        <v>45848.0</v>
      </c>
      <c r="J50" s="57" t="s">
        <v>460</v>
      </c>
      <c r="K50" s="147"/>
      <c r="L50" s="147"/>
      <c r="M50" s="147"/>
      <c r="N50" s="147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19" t="s">
        <v>694</v>
      </c>
      <c r="B51" s="63">
        <v>7.09421704E8</v>
      </c>
      <c r="C51" s="63" t="s">
        <v>696</v>
      </c>
      <c r="D51" s="64">
        <v>500000.0</v>
      </c>
      <c r="E51" s="61">
        <v>865000.0</v>
      </c>
      <c r="F51" s="61">
        <v>33000.0</v>
      </c>
      <c r="G51" s="54">
        <f t="shared" ref="G51:G55" si="3">E51-F51</f>
        <v>832000</v>
      </c>
      <c r="H51" s="19">
        <v>14417.0</v>
      </c>
      <c r="I51" s="32">
        <v>45890.0</v>
      </c>
      <c r="J51" s="27">
        <v>45982.0</v>
      </c>
      <c r="K51" s="147"/>
      <c r="L51" s="147"/>
      <c r="M51" s="147"/>
      <c r="N51" s="147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99" t="s">
        <v>914</v>
      </c>
      <c r="C52" s="99" t="s">
        <v>26</v>
      </c>
      <c r="D52" s="16">
        <v>500000.0</v>
      </c>
      <c r="E52" s="16">
        <v>859500.0</v>
      </c>
      <c r="F52" s="16">
        <v>39500.0</v>
      </c>
      <c r="G52" s="54">
        <f t="shared" si="3"/>
        <v>820000</v>
      </c>
      <c r="H52" s="148">
        <v>14417.0</v>
      </c>
      <c r="I52" s="151" t="s">
        <v>915</v>
      </c>
      <c r="J52" s="162">
        <v>45963.0</v>
      </c>
      <c r="K52" s="147"/>
      <c r="L52" s="147"/>
      <c r="M52" s="147"/>
      <c r="N52" s="147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99" t="s">
        <v>719</v>
      </c>
      <c r="B53" s="99">
        <v>7.03114687E8</v>
      </c>
      <c r="C53" s="99" t="s">
        <v>721</v>
      </c>
      <c r="D53" s="16">
        <v>1376000.0</v>
      </c>
      <c r="E53" s="16">
        <v>1376000.0</v>
      </c>
      <c r="F53" s="16">
        <v>370000.0</v>
      </c>
      <c r="G53" s="54">
        <f t="shared" si="3"/>
        <v>1006000</v>
      </c>
      <c r="H53" s="25">
        <v>8667.0</v>
      </c>
      <c r="I53" s="151" t="s">
        <v>916</v>
      </c>
      <c r="J53" s="162">
        <v>45964.0</v>
      </c>
      <c r="K53" s="147"/>
      <c r="L53" s="147"/>
      <c r="M53" s="147"/>
      <c r="N53" s="147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19" t="s">
        <v>697</v>
      </c>
      <c r="B54" s="19">
        <v>7.04077942E8</v>
      </c>
      <c r="C54" s="19" t="s">
        <v>693</v>
      </c>
      <c r="D54" s="19">
        <v>2.2710446E7</v>
      </c>
      <c r="E54" s="22">
        <v>2271046.0</v>
      </c>
      <c r="F54" s="61">
        <v>77000.0</v>
      </c>
      <c r="G54" s="54">
        <f t="shared" si="3"/>
        <v>2194046</v>
      </c>
      <c r="H54" s="19">
        <v>22192.0</v>
      </c>
      <c r="I54" s="32">
        <v>45889.0</v>
      </c>
      <c r="J54" s="27">
        <v>45981.0</v>
      </c>
      <c r="K54" s="147"/>
      <c r="L54" s="147"/>
      <c r="M54" s="147"/>
      <c r="N54" s="147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165" t="s">
        <v>542</v>
      </c>
      <c r="B55" s="166">
        <v>7.71509951E8</v>
      </c>
      <c r="C55" s="165" t="s">
        <v>71</v>
      </c>
      <c r="D55" s="153">
        <v>500000.0</v>
      </c>
      <c r="E55" s="153">
        <v>865000.0000000001</v>
      </c>
      <c r="F55" s="61">
        <v>491500.0</v>
      </c>
      <c r="G55" s="54">
        <f t="shared" si="3"/>
        <v>373500</v>
      </c>
      <c r="H55" s="19">
        <v>14500.0</v>
      </c>
      <c r="I55" s="146">
        <v>45883.0</v>
      </c>
      <c r="J55" s="146">
        <v>45944.0</v>
      </c>
      <c r="K55" s="147"/>
      <c r="L55" s="147"/>
      <c r="M55" s="147"/>
      <c r="N55" s="147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19" t="s">
        <v>893</v>
      </c>
      <c r="B56" s="19">
        <v>7.4613537E8</v>
      </c>
      <c r="C56" s="19" t="s">
        <v>693</v>
      </c>
      <c r="D56" s="61">
        <v>1000000.0</v>
      </c>
      <c r="E56" s="61">
        <v>1293500.0</v>
      </c>
      <c r="F56" s="61">
        <v>1292000.0</v>
      </c>
      <c r="G56" s="54">
        <v>0.0</v>
      </c>
      <c r="H56" s="57">
        <v>0.0</v>
      </c>
      <c r="I56" s="46">
        <v>45834.0</v>
      </c>
      <c r="J56" s="158">
        <v>45895.0</v>
      </c>
      <c r="K56" s="147"/>
      <c r="L56" s="147"/>
      <c r="M56" s="147"/>
      <c r="N56" s="147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63" t="s">
        <v>917</v>
      </c>
      <c r="B57" s="63">
        <v>7421241.0</v>
      </c>
      <c r="C57" s="19" t="s">
        <v>693</v>
      </c>
      <c r="D57" s="19">
        <v>800000.0</v>
      </c>
      <c r="E57" s="22">
        <v>1372000.0</v>
      </c>
      <c r="F57" s="61">
        <v>20000.0</v>
      </c>
      <c r="G57" s="54">
        <f t="shared" ref="G57:G105" si="4">E57-F57</f>
        <v>1352000</v>
      </c>
      <c r="H57" s="19">
        <v>22867.0</v>
      </c>
      <c r="I57" s="81" t="s">
        <v>918</v>
      </c>
      <c r="J57" s="83">
        <v>45962.0</v>
      </c>
      <c r="K57" s="147"/>
      <c r="L57" s="147"/>
      <c r="M57" s="147"/>
      <c r="N57" s="147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63" t="s">
        <v>896</v>
      </c>
      <c r="B58" s="63">
        <v>7.42247774E8</v>
      </c>
      <c r="C58" s="63" t="s">
        <v>71</v>
      </c>
      <c r="D58" s="63">
        <v>400000.0</v>
      </c>
      <c r="E58" s="63">
        <v>698000.0</v>
      </c>
      <c r="F58" s="63">
        <v>268300.0</v>
      </c>
      <c r="G58" s="54">
        <f t="shared" si="4"/>
        <v>429700</v>
      </c>
      <c r="H58" s="63">
        <v>11600.0</v>
      </c>
      <c r="I58" s="85">
        <v>45877.0</v>
      </c>
      <c r="J58" s="85">
        <v>45938.0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>
      <c r="A59" s="7" t="s">
        <v>687</v>
      </c>
      <c r="B59" s="7">
        <v>7.04108578E8</v>
      </c>
      <c r="C59" s="99" t="s">
        <v>26</v>
      </c>
      <c r="D59" s="99">
        <v>947000.0</v>
      </c>
      <c r="E59" s="16">
        <v>1835100.0</v>
      </c>
      <c r="F59" s="16">
        <v>373000.0</v>
      </c>
      <c r="G59" s="54">
        <f t="shared" si="4"/>
        <v>1462100</v>
      </c>
      <c r="H59" s="148">
        <v>41703.0</v>
      </c>
      <c r="I59" s="149">
        <v>45882.0</v>
      </c>
      <c r="J59" s="150">
        <v>45943.0</v>
      </c>
      <c r="K59" s="147"/>
      <c r="L59" s="147"/>
      <c r="M59" s="147"/>
      <c r="N59" s="147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43" t="s">
        <v>563</v>
      </c>
      <c r="B60" s="44">
        <v>7.59768473E8</v>
      </c>
      <c r="C60" s="99" t="s">
        <v>123</v>
      </c>
      <c r="D60" s="16">
        <v>200000.0</v>
      </c>
      <c r="E60" s="16">
        <v>260000.0</v>
      </c>
      <c r="F60" s="99">
        <v>215000.0</v>
      </c>
      <c r="G60" s="54">
        <f t="shared" si="4"/>
        <v>45000</v>
      </c>
      <c r="H60" s="57">
        <v>4400.0</v>
      </c>
      <c r="I60" s="46">
        <v>45762.0</v>
      </c>
      <c r="J60" s="158">
        <v>45792.0</v>
      </c>
      <c r="K60" s="147"/>
      <c r="L60" s="147"/>
      <c r="M60" s="147"/>
      <c r="N60" s="147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7" t="s">
        <v>567</v>
      </c>
      <c r="B61" s="9">
        <v>7.85129426E8</v>
      </c>
      <c r="C61" s="7" t="s">
        <v>408</v>
      </c>
      <c r="D61" s="9">
        <v>230000.0</v>
      </c>
      <c r="E61" s="9">
        <v>299000.0</v>
      </c>
      <c r="F61" s="16">
        <v>215000.0</v>
      </c>
      <c r="G61" s="54">
        <f t="shared" si="4"/>
        <v>84000</v>
      </c>
      <c r="H61" s="148">
        <v>10000.0</v>
      </c>
      <c r="I61" s="160">
        <v>45773.0</v>
      </c>
      <c r="J61" s="161">
        <v>45803.0</v>
      </c>
      <c r="K61" s="147"/>
      <c r="L61" s="147"/>
      <c r="M61" s="147"/>
      <c r="N61" s="147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99" t="s">
        <v>705</v>
      </c>
      <c r="B62" s="99">
        <v>7.71378404E8</v>
      </c>
      <c r="C62" s="99" t="s">
        <v>707</v>
      </c>
      <c r="D62" s="16">
        <v>300000.0</v>
      </c>
      <c r="E62" s="16">
        <v>527000.0</v>
      </c>
      <c r="F62" s="16">
        <v>31000.0</v>
      </c>
      <c r="G62" s="54">
        <f t="shared" si="4"/>
        <v>496000</v>
      </c>
      <c r="H62" s="148">
        <v>8783.0</v>
      </c>
      <c r="I62" s="150">
        <v>45895.0</v>
      </c>
      <c r="J62" s="150">
        <v>45956.0</v>
      </c>
      <c r="K62" s="147"/>
      <c r="L62" s="147"/>
      <c r="M62" s="147"/>
      <c r="N62" s="147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19" t="s">
        <v>576</v>
      </c>
      <c r="B63" s="19">
        <v>7.08773043E8</v>
      </c>
      <c r="C63" s="19" t="s">
        <v>26</v>
      </c>
      <c r="D63" s="19">
        <v>500000.0</v>
      </c>
      <c r="E63" s="61">
        <v>660000.0</v>
      </c>
      <c r="F63" s="61">
        <v>390000.0</v>
      </c>
      <c r="G63" s="54">
        <f t="shared" si="4"/>
        <v>270000</v>
      </c>
      <c r="H63" s="19">
        <v>21700.0</v>
      </c>
      <c r="I63" s="53">
        <v>45860.0</v>
      </c>
      <c r="J63" s="53">
        <v>45891.0</v>
      </c>
      <c r="K63" s="147"/>
      <c r="L63" s="147"/>
      <c r="M63" s="147"/>
      <c r="N63" s="147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13" t="s">
        <v>580</v>
      </c>
      <c r="B64" s="14">
        <v>7.50770914E8</v>
      </c>
      <c r="C64" s="13" t="s">
        <v>26</v>
      </c>
      <c r="D64" s="25">
        <v>776000.0</v>
      </c>
      <c r="E64" s="61">
        <v>1179440.0</v>
      </c>
      <c r="F64" s="25">
        <v>451000.0</v>
      </c>
      <c r="G64" s="54">
        <f t="shared" si="4"/>
        <v>728440</v>
      </c>
      <c r="H64" s="170">
        <v>21900.0</v>
      </c>
      <c r="I64" s="32">
        <v>45892.0</v>
      </c>
      <c r="J64" s="27">
        <v>45984.0</v>
      </c>
      <c r="K64" s="147"/>
      <c r="L64" s="147"/>
      <c r="M64" s="147"/>
      <c r="N64" s="147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3" t="s">
        <v>597</v>
      </c>
      <c r="B65" s="33">
        <v>7.88814781E8</v>
      </c>
      <c r="C65" s="3" t="s">
        <v>385</v>
      </c>
      <c r="D65" s="47">
        <v>300000.0</v>
      </c>
      <c r="E65" s="61">
        <v>545661.0</v>
      </c>
      <c r="F65" s="61">
        <v>35000.0</v>
      </c>
      <c r="G65" s="54">
        <f t="shared" si="4"/>
        <v>510661</v>
      </c>
      <c r="H65" s="170">
        <v>8450.0</v>
      </c>
      <c r="I65" s="146">
        <v>45820.0</v>
      </c>
      <c r="J65" s="146">
        <v>45850.0</v>
      </c>
      <c r="K65" s="147"/>
      <c r="L65" s="147"/>
      <c r="M65" s="147"/>
      <c r="N65" s="147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66" t="s">
        <v>606</v>
      </c>
      <c r="B66" s="44">
        <v>7.00104134E8</v>
      </c>
      <c r="C66" s="43" t="s">
        <v>45</v>
      </c>
      <c r="D66" s="22">
        <v>300000.0</v>
      </c>
      <c r="E66" s="16">
        <v>410000.0</v>
      </c>
      <c r="F66" s="61">
        <v>255000.0</v>
      </c>
      <c r="G66" s="54">
        <f t="shared" si="4"/>
        <v>155000</v>
      </c>
      <c r="H66" s="57">
        <v>17567.0</v>
      </c>
      <c r="I66" s="27">
        <v>45897.0</v>
      </c>
      <c r="J66" s="28" t="s">
        <v>119</v>
      </c>
      <c r="K66" s="147"/>
      <c r="L66" s="147"/>
      <c r="M66" s="157" t="s">
        <v>907</v>
      </c>
      <c r="N66" s="147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3" t="s">
        <v>629</v>
      </c>
      <c r="B67" s="33">
        <v>7.64674133E8</v>
      </c>
      <c r="C67" s="3" t="s">
        <v>408</v>
      </c>
      <c r="D67" s="19">
        <v>300000.0</v>
      </c>
      <c r="E67" s="61">
        <v>390000.0</v>
      </c>
      <c r="F67" s="61">
        <v>341000.0</v>
      </c>
      <c r="G67" s="54">
        <f t="shared" si="4"/>
        <v>49000</v>
      </c>
      <c r="H67" s="19">
        <v>13000.0</v>
      </c>
      <c r="I67" s="146">
        <v>45815.0</v>
      </c>
      <c r="J67" s="146">
        <v>45845.0</v>
      </c>
      <c r="K67" s="147"/>
      <c r="L67" s="147"/>
      <c r="M67" s="147"/>
      <c r="N67" s="147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99" t="s">
        <v>722</v>
      </c>
      <c r="B68" s="99">
        <v>7.59778765E8</v>
      </c>
      <c r="C68" s="99" t="s">
        <v>724</v>
      </c>
      <c r="D68" s="16">
        <v>400000.0</v>
      </c>
      <c r="E68" s="16">
        <v>540000.0</v>
      </c>
      <c r="F68" s="16">
        <v>155000.0</v>
      </c>
      <c r="G68" s="54">
        <f t="shared" si="4"/>
        <v>385000</v>
      </c>
      <c r="H68" s="99">
        <v>18000.0</v>
      </c>
      <c r="I68" s="162">
        <v>45937.0</v>
      </c>
      <c r="J68" s="162">
        <v>45968.0</v>
      </c>
      <c r="K68" s="147"/>
      <c r="L68" s="147"/>
      <c r="M68" s="147"/>
      <c r="N68" s="147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19" t="s">
        <v>894</v>
      </c>
      <c r="B69" s="19">
        <v>7.01888577E8</v>
      </c>
      <c r="C69" s="19" t="s">
        <v>919</v>
      </c>
      <c r="D69" s="61">
        <v>1014000.0</v>
      </c>
      <c r="E69" s="61">
        <v>1014000.0</v>
      </c>
      <c r="F69" s="61">
        <v>235000.0</v>
      </c>
      <c r="G69" s="54">
        <f t="shared" si="4"/>
        <v>779000</v>
      </c>
      <c r="H69" s="57">
        <v>17400.0</v>
      </c>
      <c r="I69" s="171">
        <v>45830.0</v>
      </c>
      <c r="J69" s="171">
        <v>45891.0</v>
      </c>
      <c r="K69" s="157"/>
      <c r="L69" s="147"/>
      <c r="M69" s="157" t="s">
        <v>907</v>
      </c>
      <c r="N69" s="147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99" t="s">
        <v>715</v>
      </c>
      <c r="B70" s="99">
        <v>7.52327785E8</v>
      </c>
      <c r="C70" s="99" t="s">
        <v>717</v>
      </c>
      <c r="D70" s="16">
        <v>1500000.0</v>
      </c>
      <c r="E70" s="16">
        <v>2555000.0</v>
      </c>
      <c r="F70" s="16">
        <v>786500.0</v>
      </c>
      <c r="G70" s="54">
        <f t="shared" si="4"/>
        <v>1768500</v>
      </c>
      <c r="H70" s="148">
        <v>42583.0</v>
      </c>
      <c r="I70" s="151" t="s">
        <v>718</v>
      </c>
      <c r="J70" s="162">
        <v>45964.0</v>
      </c>
      <c r="K70" s="147"/>
      <c r="L70" s="147"/>
      <c r="M70" s="147"/>
      <c r="N70" s="147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43" t="s">
        <v>667</v>
      </c>
      <c r="B71" s="44">
        <v>7.52080242E8</v>
      </c>
      <c r="C71" s="19" t="s">
        <v>886</v>
      </c>
      <c r="D71" s="61">
        <v>200000.0</v>
      </c>
      <c r="E71" s="61">
        <v>260000.0</v>
      </c>
      <c r="F71" s="19">
        <v>260000.0</v>
      </c>
      <c r="G71" s="54">
        <f t="shared" si="4"/>
        <v>0</v>
      </c>
      <c r="H71" s="19">
        <v>8700.0</v>
      </c>
      <c r="I71" s="156">
        <v>45937.0</v>
      </c>
      <c r="J71" s="156">
        <v>45968.0</v>
      </c>
      <c r="K71" s="147"/>
      <c r="L71" s="147"/>
      <c r="M71" s="147"/>
      <c r="N71" s="147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19" t="s">
        <v>881</v>
      </c>
      <c r="B72" s="19">
        <v>7.0616046E8</v>
      </c>
      <c r="C72" s="19" t="s">
        <v>882</v>
      </c>
      <c r="D72" s="61">
        <v>154000.0</v>
      </c>
      <c r="E72" s="61">
        <v>269839.0</v>
      </c>
      <c r="F72" s="61">
        <v>116000.0</v>
      </c>
      <c r="G72" s="54">
        <f t="shared" si="4"/>
        <v>153839</v>
      </c>
      <c r="H72" s="57">
        <v>4300.0</v>
      </c>
      <c r="I72" s="46">
        <v>45841.0</v>
      </c>
      <c r="J72" s="46">
        <v>45902.0</v>
      </c>
      <c r="K72" s="147"/>
      <c r="L72" s="147"/>
      <c r="M72" s="147"/>
      <c r="N72" s="147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13" t="s">
        <v>586</v>
      </c>
      <c r="B73" s="14">
        <v>7.07435077E8</v>
      </c>
      <c r="C73" s="19" t="s">
        <v>920</v>
      </c>
      <c r="D73" s="19">
        <v>250000.0</v>
      </c>
      <c r="E73" s="61">
        <v>345000.0</v>
      </c>
      <c r="F73" s="61">
        <v>165000.0</v>
      </c>
      <c r="G73" s="54">
        <f t="shared" si="4"/>
        <v>180000</v>
      </c>
      <c r="H73" s="19">
        <v>11500.0</v>
      </c>
      <c r="I73" s="27">
        <v>45897.0</v>
      </c>
      <c r="J73" s="27">
        <v>45928.0</v>
      </c>
      <c r="K73" s="147"/>
      <c r="L73" s="147"/>
      <c r="M73" s="147"/>
      <c r="N73" s="147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13" t="s">
        <v>546</v>
      </c>
      <c r="B74" s="14">
        <v>7.47107742E8</v>
      </c>
      <c r="C74" s="19" t="s">
        <v>693</v>
      </c>
      <c r="D74" s="19">
        <v>624000.0</v>
      </c>
      <c r="E74" s="61">
        <v>1054560.0</v>
      </c>
      <c r="F74" s="61">
        <v>242000.0</v>
      </c>
      <c r="G74" s="54">
        <f t="shared" si="4"/>
        <v>812560</v>
      </c>
      <c r="H74" s="19">
        <v>17576.0</v>
      </c>
      <c r="I74" s="32">
        <v>45901.0</v>
      </c>
      <c r="J74" s="27">
        <v>45931.0</v>
      </c>
      <c r="K74" s="147"/>
      <c r="L74" s="147"/>
      <c r="M74" s="147"/>
      <c r="N74" s="147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63" t="s">
        <v>729</v>
      </c>
      <c r="B75" s="73"/>
      <c r="C75" s="19" t="s">
        <v>920</v>
      </c>
      <c r="D75" s="19">
        <v>600000.0</v>
      </c>
      <c r="E75" s="61">
        <v>1034000.0</v>
      </c>
      <c r="F75" s="61">
        <v>26000.0</v>
      </c>
      <c r="G75" s="54">
        <f t="shared" si="4"/>
        <v>1008000</v>
      </c>
      <c r="H75" s="19">
        <v>17233.0</v>
      </c>
      <c r="I75" s="81" t="s">
        <v>731</v>
      </c>
      <c r="J75" s="83">
        <v>45966.0</v>
      </c>
      <c r="K75" s="147"/>
      <c r="L75" s="147"/>
      <c r="M75" s="147"/>
      <c r="N75" s="147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63" t="s">
        <v>699</v>
      </c>
      <c r="B76" s="63">
        <v>7.87302115E8</v>
      </c>
      <c r="C76" s="19" t="s">
        <v>693</v>
      </c>
      <c r="D76" s="19">
        <v>400000.0</v>
      </c>
      <c r="E76" s="61">
        <v>540000.0</v>
      </c>
      <c r="F76" s="61">
        <v>220600.0</v>
      </c>
      <c r="G76" s="54">
        <f t="shared" si="4"/>
        <v>319400</v>
      </c>
      <c r="H76" s="19">
        <v>18000.0</v>
      </c>
      <c r="I76" s="172">
        <v>45894.0</v>
      </c>
      <c r="J76" s="85">
        <v>45925.0</v>
      </c>
      <c r="K76" s="147"/>
      <c r="L76" s="147"/>
      <c r="M76" s="147"/>
      <c r="N76" s="147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13" t="s">
        <v>659</v>
      </c>
      <c r="B77" s="25">
        <v>7.56167104E8</v>
      </c>
      <c r="C77" s="99" t="s">
        <v>921</v>
      </c>
      <c r="D77" s="16">
        <v>1000000.0</v>
      </c>
      <c r="E77" s="99">
        <v>1300000.0</v>
      </c>
      <c r="F77" s="99">
        <v>145000.0</v>
      </c>
      <c r="G77" s="54">
        <f t="shared" si="4"/>
        <v>1155000</v>
      </c>
      <c r="H77" s="99">
        <v>43333.0</v>
      </c>
      <c r="I77" s="28" t="s">
        <v>662</v>
      </c>
      <c r="J77" s="27">
        <v>45933.0</v>
      </c>
      <c r="K77" s="147"/>
      <c r="L77" s="147"/>
      <c r="M77" s="147"/>
      <c r="N77" s="147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13" t="s">
        <v>372</v>
      </c>
      <c r="B78" s="14">
        <v>7.9027346E8</v>
      </c>
      <c r="C78" s="24"/>
      <c r="D78" s="19">
        <v>600000.0</v>
      </c>
      <c r="E78" s="61">
        <v>1540400.0</v>
      </c>
      <c r="F78" s="61">
        <v>24000.0</v>
      </c>
      <c r="G78" s="54">
        <f t="shared" si="4"/>
        <v>1516400</v>
      </c>
      <c r="H78" s="19">
        <v>17233.0</v>
      </c>
      <c r="I78" s="32">
        <v>45897.0</v>
      </c>
      <c r="J78" s="27">
        <v>45958.0</v>
      </c>
      <c r="K78" s="147"/>
      <c r="L78" s="147"/>
      <c r="M78" s="147"/>
      <c r="N78" s="147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13" t="s">
        <v>246</v>
      </c>
      <c r="B79" s="14">
        <v>7.90436295E8</v>
      </c>
      <c r="C79" s="24"/>
      <c r="D79" s="19">
        <v>600000.0</v>
      </c>
      <c r="E79" s="61">
        <v>1034000.0</v>
      </c>
      <c r="F79" s="61">
        <v>133000.0</v>
      </c>
      <c r="G79" s="54">
        <f t="shared" si="4"/>
        <v>901000</v>
      </c>
      <c r="H79" s="19">
        <v>17233.0</v>
      </c>
      <c r="I79" s="32">
        <v>45897.0</v>
      </c>
      <c r="J79" s="27">
        <v>45958.0</v>
      </c>
      <c r="K79" s="147"/>
      <c r="L79" s="147"/>
      <c r="M79" s="147"/>
      <c r="N79" s="147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19" t="s">
        <v>732</v>
      </c>
      <c r="B80" s="19">
        <v>7.53011355E8</v>
      </c>
      <c r="C80" s="19" t="s">
        <v>734</v>
      </c>
      <c r="D80" s="61">
        <v>500000.0</v>
      </c>
      <c r="E80" s="61">
        <v>670000.0</v>
      </c>
      <c r="F80" s="61">
        <v>22400.0</v>
      </c>
      <c r="G80" s="54">
        <f t="shared" si="4"/>
        <v>647600</v>
      </c>
      <c r="H80" s="61">
        <v>2233.0</v>
      </c>
      <c r="I80" s="156">
        <v>45951.0</v>
      </c>
      <c r="J80" s="173">
        <v>45982.0</v>
      </c>
      <c r="K80" s="147"/>
      <c r="L80" s="147"/>
      <c r="M80" s="147"/>
      <c r="N80" s="147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19" t="s">
        <v>735</v>
      </c>
      <c r="B81" s="19">
        <v>7.06469479E8</v>
      </c>
      <c r="C81" s="19" t="s">
        <v>737</v>
      </c>
      <c r="D81" s="61">
        <v>300000.0</v>
      </c>
      <c r="E81" s="153">
        <v>410000.0</v>
      </c>
      <c r="F81" s="61">
        <v>226000.0</v>
      </c>
      <c r="G81" s="54">
        <f t="shared" si="4"/>
        <v>184000</v>
      </c>
      <c r="H81" s="153">
        <v>13666.666666666666</v>
      </c>
      <c r="I81" s="154" t="s">
        <v>738</v>
      </c>
      <c r="J81" s="173">
        <v>45941.0</v>
      </c>
      <c r="K81" s="147"/>
      <c r="L81" s="147"/>
      <c r="M81" s="147"/>
      <c r="N81" s="147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19" t="s">
        <v>739</v>
      </c>
      <c r="B82" s="19">
        <v>7.08237695E8</v>
      </c>
      <c r="C82" s="19" t="s">
        <v>123</v>
      </c>
      <c r="D82" s="61">
        <v>300000.0</v>
      </c>
      <c r="E82" s="153">
        <v>410000.0</v>
      </c>
      <c r="F82" s="61">
        <v>155000.0</v>
      </c>
      <c r="G82" s="54">
        <f t="shared" si="4"/>
        <v>255000</v>
      </c>
      <c r="H82" s="153">
        <v>13666.666666666666</v>
      </c>
      <c r="I82" s="154" t="s">
        <v>738</v>
      </c>
      <c r="J82" s="173">
        <v>45941.0</v>
      </c>
      <c r="K82" s="147"/>
      <c r="L82" s="147"/>
      <c r="M82" s="147"/>
      <c r="N82" s="147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19" t="s">
        <v>741</v>
      </c>
      <c r="B83" s="19">
        <v>7.5613769E7</v>
      </c>
      <c r="C83" s="19" t="s">
        <v>320</v>
      </c>
      <c r="D83" s="61">
        <v>200000.0</v>
      </c>
      <c r="E83" s="153">
        <v>280000.0</v>
      </c>
      <c r="F83" s="61">
        <v>130000.0</v>
      </c>
      <c r="G83" s="54">
        <f t="shared" si="4"/>
        <v>150000</v>
      </c>
      <c r="H83" s="153">
        <v>9333.333333333334</v>
      </c>
      <c r="I83" s="154" t="s">
        <v>738</v>
      </c>
      <c r="J83" s="173">
        <v>45941.0</v>
      </c>
      <c r="K83" s="147"/>
      <c r="L83" s="147"/>
      <c r="M83" s="147"/>
      <c r="N83" s="147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19" t="s">
        <v>743</v>
      </c>
      <c r="B84" s="19">
        <v>7.46675145E8</v>
      </c>
      <c r="C84" s="19" t="s">
        <v>320</v>
      </c>
      <c r="D84" s="61">
        <v>200000.0</v>
      </c>
      <c r="E84" s="153">
        <v>280000.0</v>
      </c>
      <c r="F84" s="61">
        <v>280000.0</v>
      </c>
      <c r="G84" s="54">
        <f t="shared" si="4"/>
        <v>0</v>
      </c>
      <c r="H84" s="153">
        <v>9333.333333333334</v>
      </c>
      <c r="I84" s="154" t="s">
        <v>738</v>
      </c>
      <c r="J84" s="173">
        <v>45941.0</v>
      </c>
      <c r="K84" s="147"/>
      <c r="L84" s="147"/>
      <c r="M84" s="147"/>
      <c r="N84" s="147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19" t="s">
        <v>745</v>
      </c>
      <c r="B85" s="19">
        <v>7.08424766E8</v>
      </c>
      <c r="C85" s="19" t="s">
        <v>747</v>
      </c>
      <c r="D85" s="61">
        <v>400000.0</v>
      </c>
      <c r="E85" s="61">
        <v>540000.0</v>
      </c>
      <c r="F85" s="61"/>
      <c r="G85" s="54">
        <f t="shared" si="4"/>
        <v>540000</v>
      </c>
      <c r="H85" s="61">
        <v>14000.0</v>
      </c>
      <c r="I85" s="156">
        <v>45945.0</v>
      </c>
      <c r="J85" s="173">
        <v>45976.0</v>
      </c>
      <c r="K85" s="147"/>
      <c r="L85" s="147"/>
      <c r="M85" s="147"/>
      <c r="N85" s="147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19" t="s">
        <v>749</v>
      </c>
      <c r="B86" s="19">
        <v>7.59121924E8</v>
      </c>
      <c r="C86" s="19" t="s">
        <v>747</v>
      </c>
      <c r="D86" s="61">
        <v>400000.0</v>
      </c>
      <c r="E86" s="61">
        <v>540000.0</v>
      </c>
      <c r="F86" s="61"/>
      <c r="G86" s="54">
        <f t="shared" si="4"/>
        <v>540000</v>
      </c>
      <c r="H86" s="153">
        <v>13666.666666666666</v>
      </c>
      <c r="I86" s="154" t="s">
        <v>922</v>
      </c>
      <c r="J86" s="173">
        <v>45943.0</v>
      </c>
      <c r="K86" s="147"/>
      <c r="L86" s="147"/>
      <c r="M86" s="147"/>
      <c r="N86" s="147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19" t="s">
        <v>751</v>
      </c>
      <c r="B87" s="19">
        <v>7.47371351E8</v>
      </c>
      <c r="C87" s="19" t="s">
        <v>5</v>
      </c>
      <c r="D87" s="61">
        <v>100000.0</v>
      </c>
      <c r="E87" s="61">
        <v>130000.0</v>
      </c>
      <c r="F87" s="61">
        <v>44400.0</v>
      </c>
      <c r="G87" s="54">
        <f t="shared" si="4"/>
        <v>85600</v>
      </c>
      <c r="H87" s="153">
        <v>5000.0</v>
      </c>
      <c r="I87" s="154" t="s">
        <v>753</v>
      </c>
      <c r="J87" s="173">
        <v>45944.0</v>
      </c>
      <c r="K87" s="147"/>
      <c r="L87" s="147"/>
      <c r="M87" s="147"/>
      <c r="N87" s="147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63" t="s">
        <v>754</v>
      </c>
      <c r="B88" s="63">
        <v>7.01609316E8</v>
      </c>
      <c r="C88" s="63" t="s">
        <v>123</v>
      </c>
      <c r="D88" s="64">
        <v>300000.0</v>
      </c>
      <c r="E88" s="153">
        <v>410000.0</v>
      </c>
      <c r="F88" s="61">
        <v>301000.0</v>
      </c>
      <c r="G88" s="54">
        <f t="shared" si="4"/>
        <v>109000</v>
      </c>
      <c r="H88" s="153">
        <v>13666.666666666666</v>
      </c>
      <c r="I88" s="154" t="s">
        <v>756</v>
      </c>
      <c r="J88" s="156">
        <v>45946.0</v>
      </c>
      <c r="K88" s="147"/>
      <c r="L88" s="147"/>
      <c r="M88" s="147"/>
      <c r="N88" s="147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63" t="s">
        <v>757</v>
      </c>
      <c r="B89" s="63">
        <v>7.00712597E8</v>
      </c>
      <c r="C89" s="63" t="s">
        <v>759</v>
      </c>
      <c r="D89" s="64">
        <v>400000.0</v>
      </c>
      <c r="E89" s="153">
        <v>540000.0</v>
      </c>
      <c r="F89" s="61">
        <v>445000.0</v>
      </c>
      <c r="G89" s="54">
        <f t="shared" si="4"/>
        <v>95000</v>
      </c>
      <c r="H89" s="153">
        <v>18000.0</v>
      </c>
      <c r="I89" s="154" t="s">
        <v>756</v>
      </c>
      <c r="J89" s="156">
        <v>45946.0</v>
      </c>
      <c r="K89" s="147"/>
      <c r="L89" s="147"/>
      <c r="M89" s="147"/>
      <c r="N89" s="147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63" t="s">
        <v>760</v>
      </c>
      <c r="B90" s="63">
        <v>7.7420163E7</v>
      </c>
      <c r="C90" s="63" t="s">
        <v>762</v>
      </c>
      <c r="D90" s="64">
        <v>800000.0</v>
      </c>
      <c r="E90" s="153">
        <v>1372000.0000000002</v>
      </c>
      <c r="F90" s="61">
        <v>12000.0</v>
      </c>
      <c r="G90" s="54">
        <f t="shared" si="4"/>
        <v>1360000</v>
      </c>
      <c r="H90" s="153">
        <v>22866.66666666667</v>
      </c>
      <c r="I90" s="154" t="s">
        <v>756</v>
      </c>
      <c r="J90" s="156">
        <v>45977.0</v>
      </c>
      <c r="K90" s="147"/>
      <c r="L90" s="147"/>
      <c r="M90" s="147"/>
      <c r="N90" s="147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63" t="s">
        <v>763</v>
      </c>
      <c r="B91" s="63">
        <v>7.5892074E8</v>
      </c>
      <c r="C91" s="63" t="s">
        <v>123</v>
      </c>
      <c r="D91" s="64">
        <v>150000.0</v>
      </c>
      <c r="E91" s="153">
        <v>215000.0</v>
      </c>
      <c r="F91" s="61">
        <v>10000.0</v>
      </c>
      <c r="G91" s="54">
        <f t="shared" si="4"/>
        <v>205000</v>
      </c>
      <c r="H91" s="153">
        <v>7166.666666666667</v>
      </c>
      <c r="I91" s="154" t="s">
        <v>756</v>
      </c>
      <c r="J91" s="156">
        <v>45946.0</v>
      </c>
      <c r="K91" s="147"/>
      <c r="L91" s="147"/>
      <c r="M91" s="147"/>
      <c r="N91" s="147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63" t="s">
        <v>765</v>
      </c>
      <c r="B92" s="63">
        <v>7.06051184E8</v>
      </c>
      <c r="C92" s="63" t="s">
        <v>734</v>
      </c>
      <c r="D92" s="64">
        <v>300000.0</v>
      </c>
      <c r="E92" s="153">
        <v>410000.0</v>
      </c>
      <c r="F92" s="61">
        <v>387000.0</v>
      </c>
      <c r="G92" s="54">
        <f t="shared" si="4"/>
        <v>23000</v>
      </c>
      <c r="H92" s="153">
        <v>13666.666666666666</v>
      </c>
      <c r="I92" s="154" t="s">
        <v>756</v>
      </c>
      <c r="J92" s="156">
        <v>45946.0</v>
      </c>
      <c r="K92" s="147"/>
      <c r="L92" s="147"/>
      <c r="M92" s="147"/>
      <c r="N92" s="147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63" t="s">
        <v>767</v>
      </c>
      <c r="B93" s="63">
        <v>7.51370809E8</v>
      </c>
      <c r="C93" s="63" t="s">
        <v>734</v>
      </c>
      <c r="D93" s="64">
        <v>400000.0</v>
      </c>
      <c r="E93" s="153">
        <v>540000.0</v>
      </c>
      <c r="F93" s="61">
        <v>404000.0</v>
      </c>
      <c r="G93" s="54">
        <f t="shared" si="4"/>
        <v>136000</v>
      </c>
      <c r="H93" s="153">
        <v>18000.0</v>
      </c>
      <c r="I93" s="154" t="s">
        <v>756</v>
      </c>
      <c r="J93" s="156">
        <v>45946.0</v>
      </c>
      <c r="K93" s="147"/>
      <c r="L93" s="147"/>
      <c r="M93" s="147"/>
      <c r="N93" s="147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63" t="s">
        <v>769</v>
      </c>
      <c r="B94" s="63">
        <v>7.63132901E8</v>
      </c>
      <c r="C94" s="63" t="s">
        <v>771</v>
      </c>
      <c r="D94" s="64">
        <v>300000.0</v>
      </c>
      <c r="E94" s="174">
        <v>400000.0</v>
      </c>
      <c r="F94" s="61">
        <v>52500.0</v>
      </c>
      <c r="G94" s="54">
        <f t="shared" si="4"/>
        <v>347500</v>
      </c>
      <c r="H94" s="175">
        <v>13333.0</v>
      </c>
      <c r="I94" s="81" t="s">
        <v>690</v>
      </c>
      <c r="J94" s="85">
        <v>45949.0</v>
      </c>
      <c r="K94" s="147"/>
      <c r="L94" s="147"/>
      <c r="M94" s="147"/>
      <c r="N94" s="147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63" t="s">
        <v>773</v>
      </c>
      <c r="B95" s="63">
        <v>7.75938147E8</v>
      </c>
      <c r="C95" s="63" t="s">
        <v>717</v>
      </c>
      <c r="D95" s="64">
        <v>300000.0</v>
      </c>
      <c r="E95" s="174">
        <v>530000.0</v>
      </c>
      <c r="F95" s="61">
        <v>123700.0</v>
      </c>
      <c r="G95" s="54">
        <f t="shared" si="4"/>
        <v>406300</v>
      </c>
      <c r="H95" s="63">
        <v>8500.0</v>
      </c>
      <c r="I95" s="81" t="s">
        <v>690</v>
      </c>
      <c r="J95" s="85">
        <v>45980.0</v>
      </c>
      <c r="K95" s="147"/>
      <c r="L95" s="147"/>
      <c r="M95" s="147"/>
      <c r="N95" s="147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63" t="s">
        <v>775</v>
      </c>
      <c r="B96" s="63">
        <v>7.584741E8</v>
      </c>
      <c r="C96" s="63" t="s">
        <v>502</v>
      </c>
      <c r="D96" s="64">
        <v>100000.0</v>
      </c>
      <c r="E96" s="63">
        <v>150000.0</v>
      </c>
      <c r="F96" s="153"/>
      <c r="G96" s="54">
        <f t="shared" si="4"/>
        <v>150000</v>
      </c>
      <c r="H96" s="63">
        <v>4400.0</v>
      </c>
      <c r="I96" s="81" t="s">
        <v>690</v>
      </c>
      <c r="J96" s="85">
        <v>45949.0</v>
      </c>
      <c r="K96" s="147"/>
      <c r="L96" s="147"/>
      <c r="M96" s="147"/>
      <c r="N96" s="147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63" t="s">
        <v>777</v>
      </c>
      <c r="B97" s="63">
        <v>7.55587076E8</v>
      </c>
      <c r="C97" s="63" t="s">
        <v>747</v>
      </c>
      <c r="D97" s="64">
        <v>400000.0</v>
      </c>
      <c r="E97" s="63">
        <v>702000.0</v>
      </c>
      <c r="F97" s="61">
        <v>271000.0</v>
      </c>
      <c r="G97" s="54">
        <f t="shared" si="4"/>
        <v>431000</v>
      </c>
      <c r="H97" s="63">
        <v>4400.0</v>
      </c>
      <c r="I97" s="81" t="s">
        <v>690</v>
      </c>
      <c r="J97" s="85">
        <v>45980.0</v>
      </c>
      <c r="K97" s="147"/>
      <c r="L97" s="147"/>
      <c r="M97" s="147"/>
      <c r="N97" s="147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63" t="s">
        <v>779</v>
      </c>
      <c r="B98" s="63">
        <v>7.06588188E8</v>
      </c>
      <c r="C98" s="63" t="s">
        <v>781</v>
      </c>
      <c r="D98" s="64">
        <v>166000.0</v>
      </c>
      <c r="E98" s="63">
        <v>166000.0</v>
      </c>
      <c r="F98" s="61">
        <v>50400.0</v>
      </c>
      <c r="G98" s="54">
        <f t="shared" si="4"/>
        <v>115600</v>
      </c>
      <c r="H98" s="63">
        <v>5600.0</v>
      </c>
      <c r="I98" s="81" t="s">
        <v>690</v>
      </c>
      <c r="J98" s="85">
        <v>45949.0</v>
      </c>
      <c r="K98" s="147"/>
      <c r="L98" s="147"/>
      <c r="M98" s="147"/>
      <c r="N98" s="147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63" t="s">
        <v>782</v>
      </c>
      <c r="B99" s="63">
        <v>7.58438095E8</v>
      </c>
      <c r="C99" s="63" t="s">
        <v>784</v>
      </c>
      <c r="D99" s="64">
        <v>600000.0</v>
      </c>
      <c r="E99" s="63">
        <v>800000.0</v>
      </c>
      <c r="F99" s="61">
        <v>165000.0</v>
      </c>
      <c r="G99" s="54">
        <f t="shared" si="4"/>
        <v>635000</v>
      </c>
      <c r="H99" s="63">
        <v>26667.0</v>
      </c>
      <c r="I99" s="85">
        <v>45947.0</v>
      </c>
      <c r="J99" s="85">
        <v>45978.0</v>
      </c>
      <c r="K99" s="147"/>
      <c r="L99" s="147"/>
      <c r="M99" s="147"/>
      <c r="N99" s="147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63" t="s">
        <v>787</v>
      </c>
      <c r="B100" s="63">
        <v>7.90933934E8</v>
      </c>
      <c r="C100" s="19" t="s">
        <v>693</v>
      </c>
      <c r="D100" s="19">
        <v>120000.0</v>
      </c>
      <c r="E100" s="61">
        <v>176000.0</v>
      </c>
      <c r="F100" s="61">
        <v>115000.0</v>
      </c>
      <c r="G100" s="54">
        <f t="shared" si="4"/>
        <v>61000</v>
      </c>
      <c r="H100" s="176">
        <v>5600.0</v>
      </c>
      <c r="I100" s="81" t="s">
        <v>788</v>
      </c>
      <c r="J100" s="85">
        <v>45954.0</v>
      </c>
      <c r="K100" s="147"/>
      <c r="L100" s="147"/>
      <c r="M100" s="147"/>
      <c r="N100" s="147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63" t="s">
        <v>789</v>
      </c>
      <c r="B101" s="63">
        <v>7.021434E7</v>
      </c>
      <c r="C101" s="63" t="s">
        <v>759</v>
      </c>
      <c r="D101" s="64">
        <v>800000.0</v>
      </c>
      <c r="E101" s="22">
        <v>1372000.0</v>
      </c>
      <c r="F101" s="61">
        <v>10000.0</v>
      </c>
      <c r="G101" s="54">
        <f t="shared" si="4"/>
        <v>1362000</v>
      </c>
      <c r="H101" s="177">
        <f>SUM(H2:H100)</f>
        <v>1688916.333</v>
      </c>
      <c r="I101" s="178"/>
      <c r="J101" s="178"/>
      <c r="K101" s="147"/>
      <c r="L101" s="147"/>
      <c r="M101" s="147"/>
      <c r="N101" s="147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63" t="s">
        <v>792</v>
      </c>
      <c r="B102" s="63">
        <v>7.06840262E8</v>
      </c>
      <c r="C102" s="63" t="s">
        <v>123</v>
      </c>
      <c r="D102" s="64">
        <v>600000.0</v>
      </c>
      <c r="E102" s="22">
        <v>800000.0</v>
      </c>
      <c r="F102" s="61">
        <v>480000.0</v>
      </c>
      <c r="G102" s="54">
        <f t="shared" si="4"/>
        <v>320000</v>
      </c>
      <c r="H102" s="25">
        <v>26667.0</v>
      </c>
      <c r="I102" s="81" t="s">
        <v>791</v>
      </c>
      <c r="J102" s="83">
        <v>45935.0</v>
      </c>
      <c r="K102" s="147"/>
      <c r="L102" s="147"/>
      <c r="M102" s="147"/>
      <c r="N102" s="147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63" t="s">
        <v>794</v>
      </c>
      <c r="B103" s="63">
        <v>7.6142341E7</v>
      </c>
      <c r="C103" s="63" t="s">
        <v>759</v>
      </c>
      <c r="D103" s="64">
        <v>800000.0</v>
      </c>
      <c r="E103" s="22">
        <v>1372000.0</v>
      </c>
      <c r="F103" s="61">
        <v>25000.0</v>
      </c>
      <c r="G103" s="54">
        <f t="shared" si="4"/>
        <v>1347000</v>
      </c>
      <c r="H103" s="25">
        <v>22867.0</v>
      </c>
      <c r="I103" s="81" t="s">
        <v>791</v>
      </c>
      <c r="J103" s="83">
        <v>45935.0</v>
      </c>
      <c r="K103" s="147"/>
      <c r="L103" s="147"/>
      <c r="M103" s="147"/>
      <c r="N103" s="147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63" t="s">
        <v>796</v>
      </c>
      <c r="B104" s="63">
        <v>7.45775005E8</v>
      </c>
      <c r="C104" s="63" t="s">
        <v>797</v>
      </c>
      <c r="D104" s="64">
        <v>300000.0</v>
      </c>
      <c r="E104" s="22">
        <v>410000.0</v>
      </c>
      <c r="F104" s="61">
        <v>203800.0</v>
      </c>
      <c r="G104" s="54">
        <f t="shared" si="4"/>
        <v>206200</v>
      </c>
      <c r="H104" s="25">
        <v>13667.0</v>
      </c>
      <c r="I104" s="81" t="s">
        <v>791</v>
      </c>
      <c r="J104" s="83">
        <v>45935.0</v>
      </c>
      <c r="K104" s="147"/>
      <c r="L104" s="147"/>
      <c r="M104" s="147"/>
      <c r="N104" s="147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63" t="s">
        <v>798</v>
      </c>
      <c r="B105" s="63">
        <v>7.59514728E8</v>
      </c>
      <c r="C105" s="63" t="s">
        <v>734</v>
      </c>
      <c r="D105" s="64">
        <v>300000.0</v>
      </c>
      <c r="E105" s="22">
        <v>410000.0</v>
      </c>
      <c r="F105" s="61">
        <v>186000.0</v>
      </c>
      <c r="G105" s="54">
        <f t="shared" si="4"/>
        <v>224000</v>
      </c>
      <c r="H105" s="25">
        <v>13667.0</v>
      </c>
      <c r="I105" s="81" t="s">
        <v>791</v>
      </c>
      <c r="J105" s="83">
        <v>45935.0</v>
      </c>
      <c r="K105" s="147"/>
      <c r="L105" s="147"/>
      <c r="M105" s="147"/>
      <c r="N105" s="147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3"/>
      <c r="B106" s="33"/>
      <c r="C106" s="3"/>
      <c r="D106" s="47"/>
      <c r="E106" s="25"/>
      <c r="F106" s="61"/>
      <c r="G106" s="54">
        <f>sum(G2:G105)</f>
        <v>54391418.2</v>
      </c>
      <c r="H106" s="25"/>
      <c r="I106" s="27"/>
      <c r="J106" s="32"/>
      <c r="K106" s="147"/>
      <c r="L106" s="147"/>
      <c r="M106" s="147"/>
      <c r="N106" s="147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3" t="s">
        <v>62</v>
      </c>
      <c r="B107" s="33">
        <v>7.69037562E8</v>
      </c>
      <c r="C107" s="3" t="s">
        <v>64</v>
      </c>
      <c r="D107" s="47">
        <v>200000.0</v>
      </c>
      <c r="E107" s="25">
        <v>270000.0</v>
      </c>
      <c r="F107" s="61">
        <v>162000.0</v>
      </c>
      <c r="G107" s="54">
        <f t="shared" ref="G107:G129" si="5">E107-F107</f>
        <v>108000</v>
      </c>
      <c r="H107" s="25">
        <v>8667.0</v>
      </c>
      <c r="I107" s="27">
        <v>45933.0</v>
      </c>
      <c r="J107" s="32">
        <v>45964.0</v>
      </c>
      <c r="K107" s="147"/>
      <c r="L107" s="147"/>
      <c r="M107" s="147"/>
      <c r="N107" s="147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63" t="s">
        <v>800</v>
      </c>
      <c r="B108" s="63">
        <v>7.0120314E7</v>
      </c>
      <c r="C108" s="19" t="s">
        <v>762</v>
      </c>
      <c r="D108" s="19">
        <v>400000.0</v>
      </c>
      <c r="E108" s="61">
        <v>540000.0</v>
      </c>
      <c r="F108" s="153"/>
      <c r="G108" s="54">
        <f t="shared" si="5"/>
        <v>540000</v>
      </c>
      <c r="H108" s="19">
        <v>18000.0</v>
      </c>
      <c r="I108" s="83">
        <v>45937.0</v>
      </c>
      <c r="J108" s="83">
        <v>45968.0</v>
      </c>
      <c r="K108" s="147"/>
      <c r="L108" s="147"/>
      <c r="M108" s="147"/>
      <c r="N108" s="147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63" t="s">
        <v>802</v>
      </c>
      <c r="B109" s="63">
        <v>7.59979594E8</v>
      </c>
      <c r="C109" s="63" t="s">
        <v>60</v>
      </c>
      <c r="D109" s="19">
        <v>200000.0</v>
      </c>
      <c r="E109" s="61">
        <v>358000.0</v>
      </c>
      <c r="F109" s="61">
        <v>85300.0</v>
      </c>
      <c r="G109" s="54">
        <f t="shared" si="5"/>
        <v>272700</v>
      </c>
      <c r="H109" s="19">
        <v>5967.0</v>
      </c>
      <c r="I109" s="81" t="s">
        <v>804</v>
      </c>
      <c r="J109" s="81" t="s">
        <v>805</v>
      </c>
      <c r="K109" s="147"/>
      <c r="L109" s="147"/>
      <c r="M109" s="147"/>
      <c r="N109" s="147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63" t="s">
        <v>806</v>
      </c>
      <c r="B110" s="63">
        <v>7.59977531E8</v>
      </c>
      <c r="C110" s="19" t="s">
        <v>781</v>
      </c>
      <c r="D110" s="19">
        <v>100000.0</v>
      </c>
      <c r="E110" s="61">
        <v>140000.0</v>
      </c>
      <c r="F110" s="61">
        <v>56400.0</v>
      </c>
      <c r="G110" s="54">
        <f t="shared" si="5"/>
        <v>83600</v>
      </c>
      <c r="H110" s="19">
        <v>5000.0</v>
      </c>
      <c r="I110" s="81" t="s">
        <v>804</v>
      </c>
      <c r="J110" s="83">
        <v>45970.0</v>
      </c>
      <c r="K110" s="147"/>
      <c r="L110" s="147"/>
      <c r="M110" s="147"/>
      <c r="N110" s="147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63" t="s">
        <v>808</v>
      </c>
      <c r="B111" s="63">
        <v>7.84872516E8</v>
      </c>
      <c r="C111" s="19" t="s">
        <v>123</v>
      </c>
      <c r="D111" s="19">
        <v>200000.0</v>
      </c>
      <c r="E111" s="61">
        <v>280000.0</v>
      </c>
      <c r="F111" s="61">
        <v>38000.0</v>
      </c>
      <c r="G111" s="54">
        <f t="shared" si="5"/>
        <v>242000</v>
      </c>
      <c r="H111" s="19">
        <v>9333.0</v>
      </c>
      <c r="I111" s="81" t="s">
        <v>804</v>
      </c>
      <c r="J111" s="83">
        <v>45970.0</v>
      </c>
      <c r="K111" s="147"/>
      <c r="L111" s="147"/>
      <c r="M111" s="147"/>
      <c r="N111" s="147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63" t="s">
        <v>810</v>
      </c>
      <c r="B112" s="63">
        <v>7.42206441E8</v>
      </c>
      <c r="C112" s="19" t="s">
        <v>812</v>
      </c>
      <c r="D112" s="19">
        <v>100000.0</v>
      </c>
      <c r="E112" s="61">
        <v>150000.0</v>
      </c>
      <c r="F112" s="61">
        <v>66000.0</v>
      </c>
      <c r="G112" s="54">
        <f t="shared" si="5"/>
        <v>84000</v>
      </c>
      <c r="H112" s="19">
        <v>5000.0</v>
      </c>
      <c r="I112" s="81" t="s">
        <v>804</v>
      </c>
      <c r="J112" s="83">
        <v>45970.0</v>
      </c>
      <c r="K112" s="147"/>
      <c r="L112" s="147"/>
      <c r="M112" s="147"/>
      <c r="N112" s="147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63" t="s">
        <v>814</v>
      </c>
      <c r="B113" s="63">
        <v>7.05926169E8</v>
      </c>
      <c r="C113" s="19" t="s">
        <v>123</v>
      </c>
      <c r="D113" s="19">
        <v>500000.0</v>
      </c>
      <c r="E113" s="61">
        <v>865000.0</v>
      </c>
      <c r="F113" s="61">
        <v>115000.0</v>
      </c>
      <c r="G113" s="54">
        <f t="shared" si="5"/>
        <v>750000</v>
      </c>
      <c r="H113" s="19">
        <v>14417.0</v>
      </c>
      <c r="I113" s="156">
        <v>45940.0</v>
      </c>
      <c r="J113" s="156">
        <v>46001.0</v>
      </c>
      <c r="K113" s="147"/>
      <c r="L113" s="147"/>
      <c r="M113" s="147"/>
      <c r="N113" s="147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63" t="s">
        <v>923</v>
      </c>
      <c r="B114" s="63">
        <v>7.75197087E8</v>
      </c>
      <c r="C114" s="19" t="s">
        <v>123</v>
      </c>
      <c r="D114" s="19">
        <v>180000.0</v>
      </c>
      <c r="E114" s="61">
        <v>254000.0</v>
      </c>
      <c r="F114" s="61">
        <v>48000.0</v>
      </c>
      <c r="G114" s="54">
        <f t="shared" si="5"/>
        <v>206000</v>
      </c>
      <c r="H114" s="19">
        <v>8467.0</v>
      </c>
      <c r="I114" s="81" t="s">
        <v>804</v>
      </c>
      <c r="J114" s="83">
        <v>45970.0</v>
      </c>
      <c r="K114" s="147"/>
      <c r="L114" s="147"/>
      <c r="M114" s="147"/>
      <c r="N114" s="147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13" t="s">
        <v>14</v>
      </c>
      <c r="B115" s="14">
        <v>7.57437046E8</v>
      </c>
      <c r="C115" s="19" t="s">
        <v>16</v>
      </c>
      <c r="D115" s="19">
        <v>1000000.0</v>
      </c>
      <c r="E115" s="61">
        <v>1320000.0</v>
      </c>
      <c r="F115" s="61">
        <v>40000.0</v>
      </c>
      <c r="G115" s="54">
        <f t="shared" si="5"/>
        <v>1280000</v>
      </c>
      <c r="H115" s="19">
        <v>43333.0</v>
      </c>
      <c r="I115" s="85">
        <v>45944.0</v>
      </c>
      <c r="J115" s="85">
        <v>45975.0</v>
      </c>
      <c r="K115" s="147"/>
      <c r="L115" s="147"/>
      <c r="M115" s="147"/>
      <c r="N115" s="147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63" t="s">
        <v>817</v>
      </c>
      <c r="B116" s="63">
        <v>7.07316302E8</v>
      </c>
      <c r="C116" s="19" t="s">
        <v>26</v>
      </c>
      <c r="D116" s="19">
        <v>180000.0</v>
      </c>
      <c r="E116" s="61">
        <v>254000.0</v>
      </c>
      <c r="F116" s="61">
        <v>40000.0</v>
      </c>
      <c r="G116" s="54">
        <f t="shared" si="5"/>
        <v>214000</v>
      </c>
      <c r="H116" s="19">
        <v>8467.0</v>
      </c>
      <c r="I116" s="85">
        <v>45944.0</v>
      </c>
      <c r="J116" s="85">
        <v>45975.0</v>
      </c>
      <c r="K116" s="147"/>
      <c r="L116" s="147"/>
      <c r="M116" s="147"/>
      <c r="N116" s="147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63" t="s">
        <v>821</v>
      </c>
      <c r="B117" s="63">
        <v>7.66843916E8</v>
      </c>
      <c r="C117" s="19" t="s">
        <v>26</v>
      </c>
      <c r="D117" s="19">
        <v>300000.0</v>
      </c>
      <c r="E117" s="61">
        <v>410000.0</v>
      </c>
      <c r="F117" s="61">
        <v>39000.0</v>
      </c>
      <c r="G117" s="54">
        <f t="shared" si="5"/>
        <v>371000</v>
      </c>
      <c r="H117" s="19">
        <v>13667.0</v>
      </c>
      <c r="I117" s="85">
        <v>45944.0</v>
      </c>
      <c r="J117" s="85">
        <v>45975.0</v>
      </c>
      <c r="K117" s="147"/>
      <c r="L117" s="147"/>
      <c r="M117" s="147"/>
      <c r="N117" s="147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63" t="s">
        <v>819</v>
      </c>
      <c r="B118" s="63">
        <v>7.70712312E8</v>
      </c>
      <c r="C118" s="19" t="s">
        <v>320</v>
      </c>
      <c r="D118" s="19">
        <v>200000.0</v>
      </c>
      <c r="E118" s="61">
        <v>270000.0</v>
      </c>
      <c r="F118" s="61">
        <v>65000.0</v>
      </c>
      <c r="G118" s="54">
        <f t="shared" si="5"/>
        <v>205000</v>
      </c>
      <c r="H118" s="19">
        <v>9333.0</v>
      </c>
      <c r="I118" s="85">
        <v>45944.0</v>
      </c>
      <c r="J118" s="85">
        <v>45975.0</v>
      </c>
      <c r="K118" s="147"/>
      <c r="L118" s="147"/>
      <c r="M118" s="147"/>
      <c r="N118" s="147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13" t="s">
        <v>35</v>
      </c>
      <c r="B119" s="14">
        <v>7.0087706E8</v>
      </c>
      <c r="C119" s="19" t="s">
        <v>123</v>
      </c>
      <c r="D119" s="19">
        <v>400000.0</v>
      </c>
      <c r="E119" s="61">
        <v>540000.0</v>
      </c>
      <c r="F119" s="61">
        <v>120000.0</v>
      </c>
      <c r="G119" s="54">
        <f t="shared" si="5"/>
        <v>420000</v>
      </c>
      <c r="H119" s="19">
        <v>14000.0</v>
      </c>
      <c r="I119" s="156">
        <v>45945.0</v>
      </c>
      <c r="J119" s="156">
        <v>45976.0</v>
      </c>
      <c r="K119" s="147"/>
      <c r="L119" s="147"/>
      <c r="M119" s="147"/>
      <c r="N119" s="147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63" t="s">
        <v>823</v>
      </c>
      <c r="B120" s="63">
        <v>7.0712347E7</v>
      </c>
      <c r="C120" s="19" t="s">
        <v>784</v>
      </c>
      <c r="D120" s="19">
        <v>800000.0</v>
      </c>
      <c r="E120" s="61">
        <v>1372000.0</v>
      </c>
      <c r="F120" s="153"/>
      <c r="G120" s="54">
        <f t="shared" si="5"/>
        <v>1372000</v>
      </c>
      <c r="H120" s="19">
        <v>22867.0</v>
      </c>
      <c r="I120" s="156">
        <v>45947.0</v>
      </c>
      <c r="J120" s="156">
        <v>46008.0</v>
      </c>
      <c r="K120" s="147"/>
      <c r="L120" s="147"/>
      <c r="M120" s="147"/>
      <c r="N120" s="147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63" t="s">
        <v>825</v>
      </c>
      <c r="B121" s="63">
        <v>7.0911432E7</v>
      </c>
      <c r="C121" s="19" t="s">
        <v>123</v>
      </c>
      <c r="D121" s="19">
        <v>800000.0</v>
      </c>
      <c r="E121" s="61">
        <v>1372000.0</v>
      </c>
      <c r="F121" s="153"/>
      <c r="G121" s="54">
        <f t="shared" si="5"/>
        <v>1372000</v>
      </c>
      <c r="H121" s="19">
        <v>22867.0</v>
      </c>
      <c r="I121" s="156">
        <v>45947.0</v>
      </c>
      <c r="J121" s="156">
        <v>46008.0</v>
      </c>
      <c r="K121" s="147"/>
      <c r="L121" s="147"/>
      <c r="M121" s="147"/>
      <c r="N121" s="147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63" t="s">
        <v>827</v>
      </c>
      <c r="B122" s="63">
        <v>7.51818512E8</v>
      </c>
      <c r="C122" s="19" t="s">
        <v>123</v>
      </c>
      <c r="D122" s="19">
        <v>300000.0</v>
      </c>
      <c r="E122" s="61">
        <v>527000.0</v>
      </c>
      <c r="F122" s="153"/>
      <c r="G122" s="54">
        <f t="shared" si="5"/>
        <v>527000</v>
      </c>
      <c r="H122" s="19">
        <v>8783.0</v>
      </c>
      <c r="I122" s="156">
        <v>45947.0</v>
      </c>
      <c r="J122" s="156">
        <v>46008.0</v>
      </c>
      <c r="K122" s="147"/>
      <c r="L122" s="147"/>
      <c r="M122" s="147"/>
      <c r="N122" s="147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19" t="s">
        <v>924</v>
      </c>
      <c r="B123" s="19">
        <v>7.00111576E8</v>
      </c>
      <c r="C123" s="19" t="s">
        <v>747</v>
      </c>
      <c r="D123" s="19">
        <v>400000.0</v>
      </c>
      <c r="E123" s="61">
        <v>540000.0</v>
      </c>
      <c r="F123" s="61">
        <v>22000.0</v>
      </c>
      <c r="G123" s="54">
        <f t="shared" si="5"/>
        <v>518000</v>
      </c>
      <c r="H123" s="19">
        <v>18000.0</v>
      </c>
      <c r="I123" s="85">
        <v>45947.0</v>
      </c>
      <c r="J123" s="85">
        <v>45978.0</v>
      </c>
      <c r="K123" s="147"/>
      <c r="L123" s="147"/>
      <c r="M123" s="147"/>
      <c r="N123" s="147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63" t="s">
        <v>749</v>
      </c>
      <c r="B124" s="63">
        <v>7.59121924E8</v>
      </c>
      <c r="C124" s="19" t="s">
        <v>747</v>
      </c>
      <c r="D124" s="19">
        <v>400000.0</v>
      </c>
      <c r="E124" s="61">
        <v>540000.0</v>
      </c>
      <c r="F124" s="153"/>
      <c r="G124" s="54">
        <f t="shared" si="5"/>
        <v>540000</v>
      </c>
      <c r="H124" s="19">
        <v>18000.0</v>
      </c>
      <c r="I124" s="156">
        <v>45951.0</v>
      </c>
      <c r="J124" s="179">
        <v>45982.0</v>
      </c>
      <c r="K124" s="147"/>
      <c r="L124" s="147"/>
      <c r="M124" s="147"/>
      <c r="N124" s="147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63" t="s">
        <v>831</v>
      </c>
      <c r="B125" s="63">
        <v>7.06256742E8</v>
      </c>
      <c r="C125" s="19" t="s">
        <v>717</v>
      </c>
      <c r="D125" s="19">
        <v>200000.0</v>
      </c>
      <c r="E125" s="61">
        <v>270000.0</v>
      </c>
      <c r="F125" s="153"/>
      <c r="G125" s="54">
        <f t="shared" si="5"/>
        <v>270000</v>
      </c>
      <c r="H125" s="19">
        <v>9333.0</v>
      </c>
      <c r="I125" s="156">
        <v>45951.0</v>
      </c>
      <c r="J125" s="179">
        <v>45982.0</v>
      </c>
      <c r="K125" s="147"/>
      <c r="L125" s="147"/>
      <c r="M125" s="147"/>
      <c r="N125" s="147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63" t="s">
        <v>833</v>
      </c>
      <c r="B126" s="63">
        <v>7.03648366E8</v>
      </c>
      <c r="C126" s="19" t="s">
        <v>123</v>
      </c>
      <c r="D126" s="19">
        <v>500000.0</v>
      </c>
      <c r="E126" s="61">
        <v>670000.0</v>
      </c>
      <c r="F126" s="61">
        <v>70000.0</v>
      </c>
      <c r="G126" s="54">
        <f t="shared" si="5"/>
        <v>600000</v>
      </c>
      <c r="H126" s="19">
        <v>22333.0</v>
      </c>
      <c r="I126" s="156">
        <v>45951.0</v>
      </c>
      <c r="J126" s="179">
        <v>45982.0</v>
      </c>
      <c r="K126" s="147"/>
      <c r="L126" s="147"/>
      <c r="M126" s="147"/>
      <c r="N126" s="147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63" t="s">
        <v>835</v>
      </c>
      <c r="B127" s="63">
        <v>7.72492293E8</v>
      </c>
      <c r="C127" s="19" t="s">
        <v>320</v>
      </c>
      <c r="D127" s="19">
        <v>150000.0</v>
      </c>
      <c r="E127" s="61">
        <v>205000.0</v>
      </c>
      <c r="F127" s="61">
        <v>7000.0</v>
      </c>
      <c r="G127" s="54">
        <f t="shared" si="5"/>
        <v>198000</v>
      </c>
      <c r="H127" s="19">
        <v>7167.0</v>
      </c>
      <c r="I127" s="156">
        <v>45952.0</v>
      </c>
      <c r="J127" s="156">
        <v>45983.0</v>
      </c>
      <c r="K127" s="147"/>
      <c r="L127" s="147"/>
      <c r="M127" s="147"/>
      <c r="N127" s="147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19" t="s">
        <v>837</v>
      </c>
      <c r="B128" s="19">
        <v>7.56974096E8</v>
      </c>
      <c r="C128" s="19" t="s">
        <v>123</v>
      </c>
      <c r="D128" s="19">
        <v>200000.0</v>
      </c>
      <c r="E128" s="61">
        <v>270000.0</v>
      </c>
      <c r="F128" s="153"/>
      <c r="G128" s="54">
        <f t="shared" si="5"/>
        <v>270000</v>
      </c>
      <c r="H128" s="19">
        <v>11600.0</v>
      </c>
      <c r="I128" s="156">
        <v>45952.0</v>
      </c>
      <c r="J128" s="156">
        <v>45983.0</v>
      </c>
      <c r="K128" s="147"/>
      <c r="L128" s="147"/>
      <c r="M128" s="147"/>
      <c r="N128" s="147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63" t="s">
        <v>839</v>
      </c>
      <c r="B129" s="63">
        <v>7.69062004E8</v>
      </c>
      <c r="C129" s="19" t="s">
        <v>320</v>
      </c>
      <c r="D129" s="19">
        <v>150000.0</v>
      </c>
      <c r="E129" s="61">
        <v>205000.0</v>
      </c>
      <c r="F129" s="61">
        <v>10000.0</v>
      </c>
      <c r="G129" s="54">
        <f t="shared" si="5"/>
        <v>195000</v>
      </c>
      <c r="H129" s="19">
        <v>7167.0</v>
      </c>
      <c r="I129" s="156">
        <v>45952.0</v>
      </c>
      <c r="J129" s="156">
        <v>45983.0</v>
      </c>
      <c r="K129" s="147"/>
      <c r="L129" s="147"/>
      <c r="M129" s="147"/>
      <c r="N129" s="147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153"/>
      <c r="F130" s="153"/>
      <c r="G130" s="54">
        <f>sum(G2:G129)</f>
        <v>119421136.4</v>
      </c>
      <c r="H130" s="152"/>
      <c r="I130" s="180"/>
      <c r="J130" s="180"/>
      <c r="K130" s="147"/>
      <c r="L130" s="147"/>
      <c r="M130" s="147"/>
      <c r="N130" s="147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153"/>
      <c r="F131" s="153"/>
      <c r="G131" s="54">
        <f t="shared" ref="G131:G137" si="6">E131-F131</f>
        <v>0</v>
      </c>
      <c r="H131" s="152"/>
      <c r="I131" s="180"/>
      <c r="J131" s="180"/>
      <c r="K131" s="147"/>
      <c r="L131" s="147"/>
      <c r="M131" s="147"/>
      <c r="N131" s="147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153"/>
      <c r="F132" s="153"/>
      <c r="G132" s="54">
        <f t="shared" si="6"/>
        <v>0</v>
      </c>
      <c r="H132" s="152"/>
      <c r="I132" s="180"/>
      <c r="J132" s="180"/>
      <c r="K132" s="147"/>
      <c r="L132" s="147"/>
      <c r="M132" s="147"/>
      <c r="N132" s="147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153"/>
      <c r="F133" s="153"/>
      <c r="G133" s="54">
        <f t="shared" si="6"/>
        <v>0</v>
      </c>
      <c r="H133" s="152"/>
      <c r="I133" s="180"/>
      <c r="J133" s="180"/>
      <c r="K133" s="147"/>
      <c r="L133" s="147"/>
      <c r="M133" s="147"/>
      <c r="N133" s="147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153"/>
      <c r="F134" s="153"/>
      <c r="G134" s="54">
        <f t="shared" si="6"/>
        <v>0</v>
      </c>
      <c r="H134" s="152"/>
      <c r="I134" s="180"/>
      <c r="J134" s="180"/>
      <c r="K134" s="147"/>
      <c r="L134" s="147"/>
      <c r="M134" s="147"/>
      <c r="N134" s="147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153"/>
      <c r="F135" s="153"/>
      <c r="G135" s="54">
        <f t="shared" si="6"/>
        <v>0</v>
      </c>
      <c r="H135" s="152"/>
      <c r="I135" s="180"/>
      <c r="J135" s="180"/>
      <c r="K135" s="147"/>
      <c r="L135" s="147"/>
      <c r="M135" s="147"/>
      <c r="N135" s="147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153"/>
      <c r="F136" s="153"/>
      <c r="G136" s="54">
        <f t="shared" si="6"/>
        <v>0</v>
      </c>
      <c r="H136" s="152"/>
      <c r="I136" s="180"/>
      <c r="J136" s="180"/>
      <c r="K136" s="147"/>
      <c r="L136" s="147"/>
      <c r="M136" s="147"/>
      <c r="N136" s="147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153"/>
      <c r="F137" s="153"/>
      <c r="G137" s="54">
        <f t="shared" si="6"/>
        <v>0</v>
      </c>
      <c r="H137" s="152"/>
      <c r="I137" s="180"/>
      <c r="J137" s="180"/>
      <c r="K137" s="147"/>
      <c r="L137" s="147"/>
      <c r="M137" s="147"/>
      <c r="N137" s="147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153"/>
      <c r="F138" s="153"/>
      <c r="G138" s="153"/>
      <c r="H138" s="152"/>
      <c r="I138" s="180"/>
      <c r="J138" s="180"/>
      <c r="K138" s="147"/>
      <c r="L138" s="147"/>
      <c r="M138" s="147"/>
      <c r="N138" s="147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153"/>
      <c r="F139" s="153"/>
      <c r="G139" s="153"/>
      <c r="H139" s="152"/>
      <c r="I139" s="180"/>
      <c r="J139" s="180"/>
      <c r="K139" s="147"/>
      <c r="L139" s="147"/>
      <c r="M139" s="147"/>
      <c r="N139" s="147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153"/>
      <c r="F140" s="153"/>
      <c r="G140" s="153"/>
      <c r="H140" s="152"/>
      <c r="I140" s="180"/>
      <c r="J140" s="180"/>
      <c r="K140" s="147"/>
      <c r="L140" s="147"/>
      <c r="M140" s="147"/>
      <c r="N140" s="147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153"/>
      <c r="F141" s="153"/>
      <c r="G141" s="153"/>
      <c r="H141" s="152"/>
      <c r="I141" s="180"/>
      <c r="J141" s="180"/>
      <c r="K141" s="147"/>
      <c r="L141" s="147"/>
      <c r="M141" s="147"/>
      <c r="N141" s="147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153"/>
      <c r="F142" s="153"/>
      <c r="G142" s="153"/>
      <c r="H142" s="152"/>
      <c r="I142" s="180"/>
      <c r="J142" s="180"/>
      <c r="K142" s="147"/>
      <c r="L142" s="147"/>
      <c r="M142" s="147"/>
      <c r="N142" s="147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153"/>
      <c r="F143" s="153"/>
      <c r="G143" s="153"/>
      <c r="H143" s="152"/>
      <c r="I143" s="180"/>
      <c r="J143" s="180"/>
      <c r="K143" s="147"/>
      <c r="L143" s="147"/>
      <c r="M143" s="147"/>
      <c r="N143" s="147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153"/>
      <c r="F144" s="153"/>
      <c r="G144" s="153"/>
      <c r="H144" s="152"/>
      <c r="I144" s="180"/>
      <c r="J144" s="180"/>
      <c r="K144" s="147"/>
      <c r="L144" s="147"/>
      <c r="M144" s="147"/>
      <c r="N144" s="147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153"/>
      <c r="F145" s="153"/>
      <c r="G145" s="153"/>
      <c r="H145" s="152"/>
      <c r="I145" s="180"/>
      <c r="J145" s="180"/>
      <c r="K145" s="147"/>
      <c r="L145" s="147"/>
      <c r="M145" s="147"/>
      <c r="N145" s="147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153"/>
      <c r="F146" s="153"/>
      <c r="G146" s="153"/>
      <c r="H146" s="152"/>
      <c r="I146" s="180"/>
      <c r="J146" s="180"/>
      <c r="K146" s="147"/>
      <c r="L146" s="147"/>
      <c r="M146" s="147"/>
      <c r="N146" s="147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153"/>
      <c r="F147" s="153"/>
      <c r="G147" s="153"/>
      <c r="H147" s="152"/>
      <c r="I147" s="180"/>
      <c r="J147" s="180"/>
      <c r="K147" s="147"/>
      <c r="L147" s="147"/>
      <c r="M147" s="147"/>
      <c r="N147" s="147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153"/>
      <c r="F148" s="153"/>
      <c r="G148" s="153"/>
      <c r="H148" s="152"/>
      <c r="I148" s="180"/>
      <c r="J148" s="180"/>
      <c r="K148" s="147"/>
      <c r="L148" s="147"/>
      <c r="M148" s="147"/>
      <c r="N148" s="147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153"/>
      <c r="F149" s="153"/>
      <c r="G149" s="153"/>
      <c r="H149" s="152"/>
      <c r="I149" s="180"/>
      <c r="J149" s="180"/>
      <c r="K149" s="147"/>
      <c r="L149" s="147"/>
      <c r="M149" s="147"/>
      <c r="N149" s="147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153"/>
      <c r="F150" s="153"/>
      <c r="G150" s="153"/>
      <c r="H150" s="152"/>
      <c r="I150" s="180"/>
      <c r="J150" s="180"/>
      <c r="K150" s="147"/>
      <c r="L150" s="147"/>
      <c r="M150" s="147"/>
      <c r="N150" s="147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153"/>
      <c r="F151" s="153"/>
      <c r="G151" s="153"/>
      <c r="H151" s="152"/>
      <c r="I151" s="180"/>
      <c r="J151" s="180"/>
      <c r="K151" s="147"/>
      <c r="L151" s="147"/>
      <c r="M151" s="147"/>
      <c r="N151" s="147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153"/>
      <c r="F152" s="153"/>
      <c r="G152" s="153"/>
      <c r="H152" s="152"/>
      <c r="I152" s="180"/>
      <c r="J152" s="180"/>
      <c r="K152" s="147"/>
      <c r="L152" s="147"/>
      <c r="M152" s="147"/>
      <c r="N152" s="147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153"/>
      <c r="F153" s="153"/>
      <c r="G153" s="153"/>
      <c r="H153" s="152"/>
      <c r="I153" s="180"/>
      <c r="J153" s="180"/>
      <c r="K153" s="147"/>
      <c r="L153" s="147"/>
      <c r="M153" s="147"/>
      <c r="N153" s="147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153"/>
      <c r="F154" s="153"/>
      <c r="G154" s="153"/>
      <c r="H154" s="152"/>
      <c r="I154" s="180"/>
      <c r="J154" s="180"/>
      <c r="K154" s="147"/>
      <c r="L154" s="147"/>
      <c r="M154" s="147"/>
      <c r="N154" s="147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153"/>
      <c r="F155" s="153"/>
      <c r="G155" s="153"/>
      <c r="H155" s="152"/>
      <c r="I155" s="180"/>
      <c r="J155" s="180"/>
      <c r="K155" s="147"/>
      <c r="L155" s="147"/>
      <c r="M155" s="147"/>
      <c r="N155" s="147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153"/>
      <c r="F156" s="153"/>
      <c r="G156" s="153"/>
      <c r="H156" s="152"/>
      <c r="I156" s="180"/>
      <c r="J156" s="180"/>
      <c r="K156" s="147"/>
      <c r="L156" s="147"/>
      <c r="M156" s="147"/>
      <c r="N156" s="147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153"/>
      <c r="F157" s="153"/>
      <c r="G157" s="153"/>
      <c r="H157" s="152"/>
      <c r="I157" s="180"/>
      <c r="J157" s="180"/>
      <c r="K157" s="147"/>
      <c r="L157" s="147"/>
      <c r="M157" s="147"/>
      <c r="N157" s="147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153"/>
      <c r="F158" s="153"/>
      <c r="G158" s="153"/>
      <c r="H158" s="152"/>
      <c r="I158" s="180"/>
      <c r="J158" s="180"/>
      <c r="K158" s="147"/>
      <c r="L158" s="147"/>
      <c r="M158" s="147"/>
      <c r="N158" s="147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153"/>
      <c r="F159" s="153"/>
      <c r="G159" s="153"/>
      <c r="H159" s="152"/>
      <c r="I159" s="180"/>
      <c r="J159" s="180"/>
      <c r="K159" s="147"/>
      <c r="L159" s="147"/>
      <c r="M159" s="147"/>
      <c r="N159" s="147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153"/>
      <c r="F160" s="153"/>
      <c r="G160" s="153"/>
      <c r="H160" s="152"/>
      <c r="I160" s="180"/>
      <c r="J160" s="180"/>
      <c r="K160" s="147"/>
      <c r="L160" s="147"/>
      <c r="M160" s="147"/>
      <c r="N160" s="147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153"/>
      <c r="F161" s="153"/>
      <c r="G161" s="153"/>
      <c r="H161" s="152"/>
      <c r="I161" s="180"/>
      <c r="J161" s="180"/>
      <c r="K161" s="147"/>
      <c r="L161" s="147"/>
      <c r="M161" s="147"/>
      <c r="N161" s="147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153"/>
      <c r="F162" s="153"/>
      <c r="G162" s="153"/>
      <c r="H162" s="152"/>
      <c r="I162" s="180"/>
      <c r="J162" s="180"/>
      <c r="K162" s="147"/>
      <c r="L162" s="147"/>
      <c r="M162" s="147"/>
      <c r="N162" s="147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153"/>
      <c r="F163" s="153"/>
      <c r="G163" s="153"/>
      <c r="H163" s="152"/>
      <c r="I163" s="180"/>
      <c r="J163" s="180"/>
      <c r="K163" s="147"/>
      <c r="L163" s="147"/>
      <c r="M163" s="147"/>
      <c r="N163" s="147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153"/>
      <c r="F164" s="153"/>
      <c r="G164" s="153"/>
      <c r="H164" s="152"/>
      <c r="I164" s="180"/>
      <c r="J164" s="180"/>
      <c r="K164" s="147"/>
      <c r="L164" s="147"/>
      <c r="M164" s="147"/>
      <c r="N164" s="147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153"/>
      <c r="F165" s="153"/>
      <c r="G165" s="153"/>
      <c r="H165" s="152"/>
      <c r="I165" s="180"/>
      <c r="J165" s="180"/>
      <c r="K165" s="147"/>
      <c r="L165" s="147"/>
      <c r="M165" s="147"/>
      <c r="N165" s="147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153"/>
      <c r="F166" s="153"/>
      <c r="G166" s="153"/>
      <c r="H166" s="152"/>
      <c r="I166" s="180"/>
      <c r="J166" s="180"/>
      <c r="K166" s="147"/>
      <c r="L166" s="147"/>
      <c r="M166" s="147"/>
      <c r="N166" s="147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153"/>
      <c r="F167" s="153"/>
      <c r="G167" s="153"/>
      <c r="H167" s="152"/>
      <c r="I167" s="180"/>
      <c r="J167" s="180"/>
      <c r="K167" s="147"/>
      <c r="L167" s="147"/>
      <c r="M167" s="147"/>
      <c r="N167" s="147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153"/>
      <c r="F168" s="153"/>
      <c r="G168" s="153"/>
      <c r="H168" s="152"/>
      <c r="I168" s="180"/>
      <c r="J168" s="180"/>
      <c r="K168" s="147"/>
      <c r="L168" s="147"/>
      <c r="M168" s="147"/>
      <c r="N168" s="147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153"/>
      <c r="F169" s="153"/>
      <c r="G169" s="153"/>
      <c r="H169" s="152"/>
      <c r="I169" s="180"/>
      <c r="J169" s="180"/>
      <c r="K169" s="147"/>
      <c r="L169" s="147"/>
      <c r="M169" s="147"/>
      <c r="N169" s="147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153"/>
      <c r="F170" s="153"/>
      <c r="G170" s="153"/>
      <c r="H170" s="152"/>
      <c r="I170" s="180"/>
      <c r="J170" s="180"/>
      <c r="K170" s="147"/>
      <c r="L170" s="147"/>
      <c r="M170" s="147"/>
      <c r="N170" s="147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153"/>
      <c r="F171" s="153"/>
      <c r="G171" s="153"/>
      <c r="H171" s="152"/>
      <c r="I171" s="180"/>
      <c r="J171" s="180"/>
      <c r="K171" s="147"/>
      <c r="L171" s="147"/>
      <c r="M171" s="147"/>
      <c r="N171" s="147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153"/>
      <c r="F172" s="153"/>
      <c r="G172" s="153"/>
      <c r="H172" s="152"/>
      <c r="I172" s="180"/>
      <c r="J172" s="180"/>
      <c r="K172" s="147"/>
      <c r="L172" s="147"/>
      <c r="M172" s="147"/>
      <c r="N172" s="147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153"/>
      <c r="F173" s="153"/>
      <c r="G173" s="153"/>
      <c r="H173" s="152"/>
      <c r="I173" s="180"/>
      <c r="J173" s="180"/>
      <c r="K173" s="147"/>
      <c r="L173" s="147"/>
      <c r="M173" s="147"/>
      <c r="N173" s="147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153"/>
      <c r="F174" s="153"/>
      <c r="G174" s="153"/>
      <c r="H174" s="152"/>
      <c r="I174" s="180"/>
      <c r="J174" s="180"/>
      <c r="K174" s="147"/>
      <c r="L174" s="147"/>
      <c r="M174" s="147"/>
      <c r="N174" s="147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153"/>
      <c r="F175" s="153"/>
      <c r="G175" s="153"/>
      <c r="H175" s="152"/>
      <c r="I175" s="180"/>
      <c r="J175" s="180"/>
      <c r="K175" s="147"/>
      <c r="L175" s="147"/>
      <c r="M175" s="147"/>
      <c r="N175" s="147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153"/>
      <c r="F176" s="153"/>
      <c r="G176" s="153"/>
      <c r="H176" s="152"/>
      <c r="I176" s="180"/>
      <c r="J176" s="180"/>
      <c r="K176" s="147"/>
      <c r="L176" s="147"/>
      <c r="M176" s="147"/>
      <c r="N176" s="147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153"/>
      <c r="F177" s="153"/>
      <c r="G177" s="153"/>
      <c r="H177" s="152"/>
      <c r="I177" s="180"/>
      <c r="J177" s="180"/>
      <c r="K177" s="147"/>
      <c r="L177" s="147"/>
      <c r="M177" s="147"/>
      <c r="N177" s="147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153"/>
      <c r="F178" s="153"/>
      <c r="G178" s="153"/>
      <c r="H178" s="152"/>
      <c r="I178" s="180"/>
      <c r="J178" s="180"/>
      <c r="K178" s="147"/>
      <c r="L178" s="147"/>
      <c r="M178" s="147"/>
      <c r="N178" s="147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153"/>
      <c r="F179" s="153"/>
      <c r="G179" s="153"/>
      <c r="H179" s="152"/>
      <c r="I179" s="180"/>
      <c r="J179" s="180"/>
      <c r="K179" s="147"/>
      <c r="L179" s="147"/>
      <c r="M179" s="147"/>
      <c r="N179" s="147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153"/>
      <c r="F180" s="153"/>
      <c r="G180" s="153"/>
      <c r="H180" s="152"/>
      <c r="I180" s="180"/>
      <c r="J180" s="180"/>
      <c r="K180" s="147"/>
      <c r="L180" s="147"/>
      <c r="M180" s="147"/>
      <c r="N180" s="147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153"/>
      <c r="F181" s="153"/>
      <c r="G181" s="153"/>
      <c r="H181" s="152"/>
      <c r="I181" s="180"/>
      <c r="J181" s="180"/>
      <c r="K181" s="147"/>
      <c r="L181" s="147"/>
      <c r="M181" s="147"/>
      <c r="N181" s="147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153"/>
      <c r="F182" s="153"/>
      <c r="G182" s="153"/>
      <c r="H182" s="152"/>
      <c r="I182" s="180"/>
      <c r="J182" s="180"/>
      <c r="K182" s="147"/>
      <c r="L182" s="147"/>
      <c r="M182" s="147"/>
      <c r="N182" s="147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153"/>
      <c r="F183" s="153"/>
      <c r="G183" s="153"/>
      <c r="H183" s="152"/>
      <c r="I183" s="180"/>
      <c r="J183" s="180"/>
      <c r="K183" s="147"/>
      <c r="L183" s="147"/>
      <c r="M183" s="147"/>
      <c r="N183" s="147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153"/>
      <c r="F184" s="153"/>
      <c r="G184" s="153"/>
      <c r="H184" s="152"/>
      <c r="I184" s="180"/>
      <c r="J184" s="180"/>
      <c r="K184" s="147"/>
      <c r="L184" s="147"/>
      <c r="M184" s="147"/>
      <c r="N184" s="147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153"/>
      <c r="F185" s="153"/>
      <c r="G185" s="153"/>
      <c r="H185" s="152"/>
      <c r="I185" s="180"/>
      <c r="J185" s="180"/>
      <c r="K185" s="147"/>
      <c r="L185" s="147"/>
      <c r="M185" s="147"/>
      <c r="N185" s="147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153"/>
      <c r="F186" s="153"/>
      <c r="G186" s="153"/>
      <c r="H186" s="152"/>
      <c r="I186" s="180"/>
      <c r="J186" s="180"/>
      <c r="K186" s="147"/>
      <c r="L186" s="147"/>
      <c r="M186" s="147"/>
      <c r="N186" s="147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153"/>
      <c r="F187" s="153"/>
      <c r="G187" s="153"/>
      <c r="H187" s="152"/>
      <c r="I187" s="180"/>
      <c r="J187" s="180"/>
      <c r="K187" s="147"/>
      <c r="L187" s="147"/>
      <c r="M187" s="147"/>
      <c r="N187" s="147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153"/>
      <c r="F188" s="153"/>
      <c r="G188" s="153"/>
      <c r="H188" s="152"/>
      <c r="I188" s="180"/>
      <c r="J188" s="180"/>
      <c r="K188" s="147"/>
      <c r="L188" s="147"/>
      <c r="M188" s="147"/>
      <c r="N188" s="147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153"/>
      <c r="F189" s="153"/>
      <c r="G189" s="153"/>
      <c r="H189" s="152"/>
      <c r="I189" s="180"/>
      <c r="J189" s="180"/>
      <c r="K189" s="147"/>
      <c r="L189" s="147"/>
      <c r="M189" s="147"/>
      <c r="N189" s="147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153"/>
      <c r="F190" s="153"/>
      <c r="G190" s="153"/>
      <c r="H190" s="152"/>
      <c r="I190" s="180"/>
      <c r="J190" s="180"/>
      <c r="K190" s="147"/>
      <c r="L190" s="147"/>
      <c r="M190" s="147"/>
      <c r="N190" s="147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153"/>
      <c r="F191" s="153"/>
      <c r="G191" s="153"/>
      <c r="H191" s="152"/>
      <c r="I191" s="180"/>
      <c r="J191" s="180"/>
      <c r="K191" s="147"/>
      <c r="L191" s="147"/>
      <c r="M191" s="147"/>
      <c r="N191" s="147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153"/>
      <c r="F192" s="153"/>
      <c r="G192" s="153"/>
      <c r="H192" s="152"/>
      <c r="I192" s="180"/>
      <c r="J192" s="180"/>
      <c r="K192" s="147"/>
      <c r="L192" s="147"/>
      <c r="M192" s="147"/>
      <c r="N192" s="147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153"/>
      <c r="F193" s="153"/>
      <c r="G193" s="153"/>
      <c r="H193" s="152"/>
      <c r="I193" s="180"/>
      <c r="J193" s="180"/>
      <c r="K193" s="147"/>
      <c r="L193" s="147"/>
      <c r="M193" s="147"/>
      <c r="N193" s="147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153"/>
      <c r="F194" s="153"/>
      <c r="G194" s="153"/>
      <c r="H194" s="152"/>
      <c r="I194" s="180"/>
      <c r="J194" s="180"/>
      <c r="K194" s="147"/>
      <c r="L194" s="147"/>
      <c r="M194" s="147"/>
      <c r="N194" s="147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153"/>
      <c r="F195" s="153"/>
      <c r="G195" s="153"/>
      <c r="H195" s="152"/>
      <c r="I195" s="180"/>
      <c r="J195" s="180"/>
      <c r="K195" s="147"/>
      <c r="L195" s="147"/>
      <c r="M195" s="147"/>
      <c r="N195" s="147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153"/>
      <c r="F196" s="153"/>
      <c r="G196" s="153"/>
      <c r="H196" s="152"/>
      <c r="I196" s="180"/>
      <c r="J196" s="180"/>
      <c r="K196" s="147"/>
      <c r="L196" s="147"/>
      <c r="M196" s="147"/>
      <c r="N196" s="147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153"/>
      <c r="F197" s="153"/>
      <c r="G197" s="153"/>
      <c r="H197" s="152"/>
      <c r="I197" s="180"/>
      <c r="J197" s="180"/>
      <c r="K197" s="147"/>
      <c r="L197" s="147"/>
      <c r="M197" s="147"/>
      <c r="N197" s="147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153"/>
      <c r="F198" s="153"/>
      <c r="G198" s="153"/>
      <c r="H198" s="152"/>
      <c r="I198" s="180"/>
      <c r="J198" s="180"/>
      <c r="K198" s="147"/>
      <c r="L198" s="147"/>
      <c r="M198" s="147"/>
      <c r="N198" s="147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153"/>
      <c r="F199" s="153"/>
      <c r="G199" s="153"/>
      <c r="H199" s="152"/>
      <c r="I199" s="180"/>
      <c r="J199" s="180"/>
      <c r="K199" s="147"/>
      <c r="L199" s="147"/>
      <c r="M199" s="147"/>
      <c r="N199" s="147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153"/>
      <c r="F200" s="153"/>
      <c r="G200" s="153"/>
      <c r="H200" s="152"/>
      <c r="I200" s="180"/>
      <c r="J200" s="180"/>
      <c r="K200" s="147"/>
      <c r="L200" s="147"/>
      <c r="M200" s="147"/>
      <c r="N200" s="147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153"/>
      <c r="F201" s="153"/>
      <c r="G201" s="153"/>
      <c r="H201" s="152"/>
      <c r="I201" s="180"/>
      <c r="J201" s="180"/>
      <c r="K201" s="147"/>
      <c r="L201" s="147"/>
      <c r="M201" s="147"/>
      <c r="N201" s="147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153"/>
      <c r="F202" s="153"/>
      <c r="G202" s="153"/>
      <c r="H202" s="152"/>
      <c r="I202" s="180"/>
      <c r="J202" s="180"/>
      <c r="K202" s="147"/>
      <c r="L202" s="147"/>
      <c r="M202" s="147"/>
      <c r="N202" s="147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153"/>
      <c r="F203" s="153"/>
      <c r="G203" s="153"/>
      <c r="H203" s="152"/>
      <c r="I203" s="180"/>
      <c r="J203" s="180"/>
      <c r="K203" s="147"/>
      <c r="L203" s="147"/>
      <c r="M203" s="147"/>
      <c r="N203" s="147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153"/>
      <c r="F204" s="153"/>
      <c r="G204" s="153"/>
      <c r="H204" s="152"/>
      <c r="I204" s="180"/>
      <c r="J204" s="180"/>
      <c r="K204" s="147"/>
      <c r="L204" s="147"/>
      <c r="M204" s="147"/>
      <c r="N204" s="147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153"/>
      <c r="F205" s="153"/>
      <c r="G205" s="153"/>
      <c r="H205" s="152"/>
      <c r="I205" s="180"/>
      <c r="J205" s="180"/>
      <c r="K205" s="147"/>
      <c r="L205" s="147"/>
      <c r="M205" s="147"/>
      <c r="N205" s="147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153"/>
      <c r="F206" s="153"/>
      <c r="G206" s="153"/>
      <c r="H206" s="152"/>
      <c r="I206" s="180"/>
      <c r="J206" s="180"/>
      <c r="K206" s="147"/>
      <c r="L206" s="147"/>
      <c r="M206" s="147"/>
      <c r="N206" s="147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153"/>
      <c r="F207" s="153"/>
      <c r="G207" s="153"/>
      <c r="H207" s="152"/>
      <c r="I207" s="180"/>
      <c r="J207" s="180"/>
      <c r="K207" s="147"/>
      <c r="L207" s="147"/>
      <c r="M207" s="147"/>
      <c r="N207" s="147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153"/>
      <c r="F208" s="153"/>
      <c r="G208" s="153"/>
      <c r="H208" s="152"/>
      <c r="I208" s="180"/>
      <c r="J208" s="180"/>
      <c r="K208" s="147"/>
      <c r="L208" s="147"/>
      <c r="M208" s="147"/>
      <c r="N208" s="147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153"/>
      <c r="F209" s="153"/>
      <c r="G209" s="153"/>
      <c r="H209" s="152"/>
      <c r="I209" s="180"/>
      <c r="J209" s="180"/>
      <c r="K209" s="147"/>
      <c r="L209" s="147"/>
      <c r="M209" s="147"/>
      <c r="N209" s="147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153"/>
      <c r="F210" s="153"/>
      <c r="G210" s="153"/>
      <c r="H210" s="152"/>
      <c r="I210" s="180"/>
      <c r="J210" s="180"/>
      <c r="K210" s="147"/>
      <c r="L210" s="147"/>
      <c r="M210" s="147"/>
      <c r="N210" s="147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153"/>
      <c r="F211" s="153"/>
      <c r="G211" s="153"/>
      <c r="H211" s="152"/>
      <c r="I211" s="180"/>
      <c r="J211" s="180"/>
      <c r="K211" s="147"/>
      <c r="L211" s="147"/>
      <c r="M211" s="147"/>
      <c r="N211" s="147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153"/>
      <c r="F212" s="153"/>
      <c r="G212" s="153"/>
      <c r="H212" s="152"/>
      <c r="I212" s="180"/>
      <c r="J212" s="180"/>
      <c r="K212" s="147"/>
      <c r="L212" s="147"/>
      <c r="M212" s="147"/>
      <c r="N212" s="147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153"/>
      <c r="F213" s="153"/>
      <c r="G213" s="153"/>
      <c r="H213" s="152"/>
      <c r="I213" s="180"/>
      <c r="J213" s="180"/>
      <c r="K213" s="147"/>
      <c r="L213" s="147"/>
      <c r="M213" s="147"/>
      <c r="N213" s="147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153"/>
      <c r="F214" s="153"/>
      <c r="G214" s="153"/>
      <c r="H214" s="152"/>
      <c r="I214" s="180"/>
      <c r="J214" s="180"/>
      <c r="K214" s="147"/>
      <c r="L214" s="147"/>
      <c r="M214" s="147"/>
      <c r="N214" s="147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153"/>
      <c r="F215" s="153"/>
      <c r="G215" s="153"/>
      <c r="H215" s="152"/>
      <c r="I215" s="180"/>
      <c r="J215" s="180"/>
      <c r="K215" s="147"/>
      <c r="L215" s="147"/>
      <c r="M215" s="147"/>
      <c r="N215" s="147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153"/>
      <c r="F216" s="153"/>
      <c r="G216" s="153"/>
      <c r="H216" s="152"/>
      <c r="I216" s="180"/>
      <c r="J216" s="180"/>
      <c r="K216" s="147"/>
      <c r="L216" s="147"/>
      <c r="M216" s="147"/>
      <c r="N216" s="147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153"/>
      <c r="F217" s="153"/>
      <c r="G217" s="153"/>
      <c r="H217" s="152"/>
      <c r="I217" s="180"/>
      <c r="J217" s="180"/>
      <c r="K217" s="147"/>
      <c r="L217" s="147"/>
      <c r="M217" s="147"/>
      <c r="N217" s="147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153"/>
      <c r="F218" s="153"/>
      <c r="G218" s="153"/>
      <c r="H218" s="152"/>
      <c r="I218" s="180"/>
      <c r="J218" s="180"/>
      <c r="K218" s="147"/>
      <c r="L218" s="147"/>
      <c r="M218" s="147"/>
      <c r="N218" s="147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153"/>
      <c r="F219" s="153"/>
      <c r="G219" s="153"/>
      <c r="H219" s="152"/>
      <c r="I219" s="180"/>
      <c r="J219" s="180"/>
      <c r="K219" s="147"/>
      <c r="L219" s="147"/>
      <c r="M219" s="147"/>
      <c r="N219" s="147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153"/>
      <c r="F220" s="153"/>
      <c r="G220" s="153"/>
      <c r="H220" s="152"/>
      <c r="I220" s="180"/>
      <c r="J220" s="180"/>
      <c r="K220" s="147"/>
      <c r="L220" s="147"/>
      <c r="M220" s="147"/>
      <c r="N220" s="147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153"/>
      <c r="F221" s="153"/>
      <c r="G221" s="153"/>
      <c r="H221" s="152"/>
      <c r="I221" s="180"/>
      <c r="J221" s="180"/>
      <c r="K221" s="147"/>
      <c r="L221" s="147"/>
      <c r="M221" s="147"/>
      <c r="N221" s="147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153"/>
      <c r="F222" s="153"/>
      <c r="G222" s="153"/>
      <c r="H222" s="152"/>
      <c r="I222" s="180"/>
      <c r="J222" s="180"/>
      <c r="K222" s="147"/>
      <c r="L222" s="147"/>
      <c r="M222" s="147"/>
      <c r="N222" s="147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153"/>
      <c r="F223" s="153"/>
      <c r="G223" s="153"/>
      <c r="H223" s="152"/>
      <c r="I223" s="180"/>
      <c r="J223" s="180"/>
      <c r="K223" s="147"/>
      <c r="L223" s="147"/>
      <c r="M223" s="147"/>
      <c r="N223" s="147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153"/>
      <c r="F224" s="153"/>
      <c r="G224" s="153"/>
      <c r="H224" s="152"/>
      <c r="I224" s="180"/>
      <c r="J224" s="180"/>
      <c r="K224" s="147"/>
      <c r="L224" s="147"/>
      <c r="M224" s="147"/>
      <c r="N224" s="147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153"/>
      <c r="F225" s="153"/>
      <c r="G225" s="153"/>
      <c r="H225" s="152"/>
      <c r="I225" s="180"/>
      <c r="J225" s="180"/>
      <c r="K225" s="147"/>
      <c r="L225" s="147"/>
      <c r="M225" s="147"/>
      <c r="N225" s="147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153"/>
      <c r="F226" s="153"/>
      <c r="G226" s="153"/>
      <c r="H226" s="152"/>
      <c r="I226" s="180"/>
      <c r="J226" s="180"/>
      <c r="K226" s="147"/>
      <c r="L226" s="147"/>
      <c r="M226" s="147"/>
      <c r="N226" s="147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153"/>
      <c r="F227" s="153"/>
      <c r="G227" s="153"/>
      <c r="H227" s="152"/>
      <c r="I227" s="180"/>
      <c r="J227" s="180"/>
      <c r="K227" s="147"/>
      <c r="L227" s="147"/>
      <c r="M227" s="147"/>
      <c r="N227" s="147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153"/>
      <c r="F228" s="153"/>
      <c r="G228" s="153"/>
      <c r="H228" s="152"/>
      <c r="I228" s="180"/>
      <c r="J228" s="180"/>
      <c r="K228" s="147"/>
      <c r="L228" s="147"/>
      <c r="M228" s="147"/>
      <c r="N228" s="147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153"/>
      <c r="F229" s="153"/>
      <c r="G229" s="153"/>
      <c r="H229" s="152"/>
      <c r="I229" s="180"/>
      <c r="J229" s="180"/>
      <c r="K229" s="147"/>
      <c r="L229" s="147"/>
      <c r="M229" s="147"/>
      <c r="N229" s="147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153"/>
      <c r="F230" s="153"/>
      <c r="G230" s="153"/>
      <c r="H230" s="152"/>
      <c r="I230" s="180"/>
      <c r="J230" s="180"/>
      <c r="K230" s="147"/>
      <c r="L230" s="147"/>
      <c r="M230" s="147"/>
      <c r="N230" s="147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153"/>
      <c r="F231" s="153"/>
      <c r="G231" s="153"/>
      <c r="H231" s="152"/>
      <c r="I231" s="180"/>
      <c r="J231" s="180"/>
      <c r="K231" s="147"/>
      <c r="L231" s="147"/>
      <c r="M231" s="147"/>
      <c r="N231" s="147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153"/>
      <c r="F232" s="153"/>
      <c r="G232" s="153"/>
      <c r="H232" s="152"/>
      <c r="I232" s="180"/>
      <c r="J232" s="180"/>
      <c r="K232" s="147"/>
      <c r="L232" s="147"/>
      <c r="M232" s="147"/>
      <c r="N232" s="147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153"/>
      <c r="F233" s="153"/>
      <c r="G233" s="153"/>
      <c r="H233" s="152"/>
      <c r="I233" s="180"/>
      <c r="J233" s="180"/>
      <c r="K233" s="147"/>
      <c r="L233" s="147"/>
      <c r="M233" s="147"/>
      <c r="N233" s="147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153"/>
      <c r="F234" s="153"/>
      <c r="G234" s="153"/>
      <c r="H234" s="152"/>
      <c r="I234" s="180"/>
      <c r="J234" s="180"/>
      <c r="K234" s="147"/>
      <c r="L234" s="147"/>
      <c r="M234" s="147"/>
      <c r="N234" s="147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153"/>
      <c r="F235" s="153"/>
      <c r="G235" s="153"/>
      <c r="H235" s="152"/>
      <c r="I235" s="180"/>
      <c r="J235" s="180"/>
      <c r="K235" s="147"/>
      <c r="L235" s="147"/>
      <c r="M235" s="147"/>
      <c r="N235" s="147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153"/>
      <c r="F236" s="153"/>
      <c r="G236" s="153"/>
      <c r="H236" s="152"/>
      <c r="I236" s="180"/>
      <c r="J236" s="180"/>
      <c r="K236" s="147"/>
      <c r="L236" s="147"/>
      <c r="M236" s="147"/>
      <c r="N236" s="147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153"/>
      <c r="F237" s="153"/>
      <c r="G237" s="153"/>
      <c r="H237" s="152"/>
      <c r="I237" s="180"/>
      <c r="J237" s="180"/>
      <c r="K237" s="147"/>
      <c r="L237" s="147"/>
      <c r="M237" s="147"/>
      <c r="N237" s="147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153"/>
      <c r="F238" s="153"/>
      <c r="G238" s="153"/>
      <c r="H238" s="152"/>
      <c r="I238" s="180"/>
      <c r="J238" s="180"/>
      <c r="K238" s="147"/>
      <c r="L238" s="147"/>
      <c r="M238" s="147"/>
      <c r="N238" s="147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153"/>
      <c r="F239" s="153"/>
      <c r="G239" s="153"/>
      <c r="H239" s="152"/>
      <c r="I239" s="180"/>
      <c r="J239" s="180"/>
      <c r="K239" s="147"/>
      <c r="L239" s="147"/>
      <c r="M239" s="147"/>
      <c r="N239" s="147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153"/>
      <c r="F240" s="153"/>
      <c r="G240" s="153"/>
      <c r="H240" s="152"/>
      <c r="I240" s="180"/>
      <c r="J240" s="180"/>
      <c r="K240" s="147"/>
      <c r="L240" s="147"/>
      <c r="M240" s="147"/>
      <c r="N240" s="147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153"/>
      <c r="F241" s="153"/>
      <c r="G241" s="153"/>
      <c r="H241" s="152"/>
      <c r="I241" s="180"/>
      <c r="J241" s="180"/>
      <c r="K241" s="147"/>
      <c r="L241" s="147"/>
      <c r="M241" s="147"/>
      <c r="N241" s="147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153"/>
      <c r="F242" s="153"/>
      <c r="G242" s="153"/>
      <c r="H242" s="152"/>
      <c r="I242" s="180"/>
      <c r="J242" s="180"/>
      <c r="K242" s="147"/>
      <c r="L242" s="147"/>
      <c r="M242" s="147"/>
      <c r="N242" s="147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153"/>
      <c r="F243" s="153"/>
      <c r="G243" s="153"/>
      <c r="H243" s="152"/>
      <c r="I243" s="180"/>
      <c r="J243" s="180"/>
      <c r="K243" s="147"/>
      <c r="L243" s="147"/>
      <c r="M243" s="147"/>
      <c r="N243" s="147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153"/>
      <c r="F244" s="153"/>
      <c r="G244" s="153"/>
      <c r="H244" s="152"/>
      <c r="I244" s="180"/>
      <c r="J244" s="180"/>
      <c r="K244" s="147"/>
      <c r="L244" s="147"/>
      <c r="M244" s="147"/>
      <c r="N244" s="147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153"/>
      <c r="F245" s="153"/>
      <c r="G245" s="153"/>
      <c r="H245" s="152"/>
      <c r="I245" s="180"/>
      <c r="J245" s="180"/>
      <c r="K245" s="147"/>
      <c r="L245" s="147"/>
      <c r="M245" s="147"/>
      <c r="N245" s="147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153"/>
      <c r="F246" s="153"/>
      <c r="G246" s="153"/>
      <c r="H246" s="152"/>
      <c r="I246" s="180"/>
      <c r="J246" s="180"/>
      <c r="K246" s="147"/>
      <c r="L246" s="147"/>
      <c r="M246" s="147"/>
      <c r="N246" s="147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153"/>
      <c r="F247" s="153"/>
      <c r="G247" s="153"/>
      <c r="H247" s="152"/>
      <c r="I247" s="180"/>
      <c r="J247" s="180"/>
      <c r="K247" s="147"/>
      <c r="L247" s="147"/>
      <c r="M247" s="147"/>
      <c r="N247" s="147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153"/>
      <c r="F248" s="153"/>
      <c r="G248" s="153"/>
      <c r="H248" s="152"/>
      <c r="I248" s="180"/>
      <c r="J248" s="180"/>
      <c r="K248" s="147"/>
      <c r="L248" s="147"/>
      <c r="M248" s="147"/>
      <c r="N248" s="147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153"/>
      <c r="F249" s="153"/>
      <c r="G249" s="153"/>
      <c r="H249" s="152"/>
      <c r="I249" s="180"/>
      <c r="J249" s="180"/>
      <c r="K249" s="147"/>
      <c r="L249" s="147"/>
      <c r="M249" s="147"/>
      <c r="N249" s="147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153"/>
      <c r="F250" s="153"/>
      <c r="G250" s="153"/>
      <c r="H250" s="152"/>
      <c r="I250" s="180"/>
      <c r="J250" s="180"/>
      <c r="K250" s="147"/>
      <c r="L250" s="147"/>
      <c r="M250" s="147"/>
      <c r="N250" s="147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153"/>
      <c r="F251" s="153"/>
      <c r="G251" s="153"/>
      <c r="H251" s="152"/>
      <c r="I251" s="180"/>
      <c r="J251" s="180"/>
      <c r="K251" s="147"/>
      <c r="L251" s="147"/>
      <c r="M251" s="147"/>
      <c r="N251" s="147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153"/>
      <c r="F252" s="153"/>
      <c r="G252" s="153"/>
      <c r="H252" s="152"/>
      <c r="I252" s="180"/>
      <c r="J252" s="180"/>
      <c r="K252" s="147"/>
      <c r="L252" s="147"/>
      <c r="M252" s="147"/>
      <c r="N252" s="147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153"/>
      <c r="F253" s="153"/>
      <c r="G253" s="153"/>
      <c r="H253" s="152"/>
      <c r="I253" s="180"/>
      <c r="J253" s="180"/>
      <c r="K253" s="147"/>
      <c r="L253" s="147"/>
      <c r="M253" s="147"/>
      <c r="N253" s="147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153"/>
      <c r="F254" s="153"/>
      <c r="G254" s="153"/>
      <c r="H254" s="152"/>
      <c r="I254" s="180"/>
      <c r="J254" s="180"/>
      <c r="K254" s="147"/>
      <c r="L254" s="147"/>
      <c r="M254" s="147"/>
      <c r="N254" s="147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153"/>
      <c r="F255" s="153"/>
      <c r="G255" s="153"/>
      <c r="H255" s="152"/>
      <c r="I255" s="180"/>
      <c r="J255" s="180"/>
      <c r="K255" s="147"/>
      <c r="L255" s="147"/>
      <c r="M255" s="147"/>
      <c r="N255" s="147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153"/>
      <c r="F256" s="153"/>
      <c r="G256" s="153"/>
      <c r="H256" s="152"/>
      <c r="I256" s="180"/>
      <c r="J256" s="180"/>
      <c r="K256" s="147"/>
      <c r="L256" s="147"/>
      <c r="M256" s="147"/>
      <c r="N256" s="147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153"/>
      <c r="F257" s="153"/>
      <c r="G257" s="153"/>
      <c r="H257" s="152"/>
      <c r="I257" s="180"/>
      <c r="J257" s="180"/>
      <c r="K257" s="147"/>
      <c r="L257" s="147"/>
      <c r="M257" s="147"/>
      <c r="N257" s="147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153"/>
      <c r="F258" s="153"/>
      <c r="G258" s="153"/>
      <c r="H258" s="152"/>
      <c r="I258" s="180"/>
      <c r="J258" s="180"/>
      <c r="K258" s="147"/>
      <c r="L258" s="147"/>
      <c r="M258" s="147"/>
      <c r="N258" s="147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153"/>
      <c r="F259" s="153"/>
      <c r="G259" s="153"/>
      <c r="H259" s="152"/>
      <c r="I259" s="180"/>
      <c r="J259" s="180"/>
      <c r="K259" s="147"/>
      <c r="L259" s="147"/>
      <c r="M259" s="147"/>
      <c r="N259" s="147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153"/>
      <c r="F260" s="153"/>
      <c r="G260" s="153"/>
      <c r="H260" s="152"/>
      <c r="I260" s="180"/>
      <c r="J260" s="180"/>
      <c r="K260" s="147"/>
      <c r="L260" s="147"/>
      <c r="M260" s="147"/>
      <c r="N260" s="147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153"/>
      <c r="F261" s="153"/>
      <c r="G261" s="153"/>
      <c r="H261" s="152"/>
      <c r="I261" s="180"/>
      <c r="J261" s="180"/>
      <c r="K261" s="147"/>
      <c r="L261" s="147"/>
      <c r="M261" s="147"/>
      <c r="N261" s="147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153"/>
      <c r="F262" s="153"/>
      <c r="G262" s="153"/>
      <c r="H262" s="152"/>
      <c r="I262" s="180"/>
      <c r="J262" s="180"/>
      <c r="K262" s="147"/>
      <c r="L262" s="147"/>
      <c r="M262" s="147"/>
      <c r="N262" s="147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153"/>
      <c r="F263" s="153"/>
      <c r="G263" s="153"/>
      <c r="H263" s="152"/>
      <c r="I263" s="180"/>
      <c r="J263" s="180"/>
      <c r="K263" s="147"/>
      <c r="L263" s="147"/>
      <c r="M263" s="147"/>
      <c r="N263" s="147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153"/>
      <c r="F264" s="153"/>
      <c r="G264" s="153"/>
      <c r="H264" s="152"/>
      <c r="I264" s="180"/>
      <c r="J264" s="180"/>
      <c r="K264" s="147"/>
      <c r="L264" s="147"/>
      <c r="M264" s="147"/>
      <c r="N264" s="147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153"/>
      <c r="F265" s="153"/>
      <c r="G265" s="153"/>
      <c r="H265" s="152"/>
      <c r="I265" s="180"/>
      <c r="J265" s="180"/>
      <c r="K265" s="147"/>
      <c r="L265" s="147"/>
      <c r="M265" s="147"/>
      <c r="N265" s="147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153"/>
      <c r="F266" s="153"/>
      <c r="G266" s="153"/>
      <c r="H266" s="152"/>
      <c r="I266" s="180"/>
      <c r="J266" s="180"/>
      <c r="K266" s="147"/>
      <c r="L266" s="147"/>
      <c r="M266" s="147"/>
      <c r="N266" s="147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153"/>
      <c r="F267" s="153"/>
      <c r="G267" s="153"/>
      <c r="H267" s="152"/>
      <c r="I267" s="180"/>
      <c r="J267" s="180"/>
      <c r="K267" s="147"/>
      <c r="L267" s="147"/>
      <c r="M267" s="147"/>
      <c r="N267" s="147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153"/>
      <c r="F268" s="153"/>
      <c r="G268" s="153"/>
      <c r="H268" s="152"/>
      <c r="I268" s="180"/>
      <c r="J268" s="180"/>
      <c r="K268" s="147"/>
      <c r="L268" s="147"/>
      <c r="M268" s="147"/>
      <c r="N268" s="147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153"/>
      <c r="F269" s="153"/>
      <c r="G269" s="153"/>
      <c r="H269" s="152"/>
      <c r="I269" s="180"/>
      <c r="J269" s="180"/>
      <c r="K269" s="147"/>
      <c r="L269" s="147"/>
      <c r="M269" s="147"/>
      <c r="N269" s="147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153"/>
      <c r="F270" s="153"/>
      <c r="G270" s="153"/>
      <c r="H270" s="152"/>
      <c r="I270" s="180"/>
      <c r="J270" s="180"/>
      <c r="K270" s="147"/>
      <c r="L270" s="147"/>
      <c r="M270" s="147"/>
      <c r="N270" s="147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153"/>
      <c r="F271" s="153"/>
      <c r="G271" s="153"/>
      <c r="H271" s="152"/>
      <c r="I271" s="180"/>
      <c r="J271" s="180"/>
      <c r="K271" s="147"/>
      <c r="L271" s="147"/>
      <c r="M271" s="147"/>
      <c r="N271" s="147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153"/>
      <c r="F272" s="153"/>
      <c r="G272" s="153"/>
      <c r="H272" s="152"/>
      <c r="I272" s="180"/>
      <c r="J272" s="180"/>
      <c r="K272" s="147"/>
      <c r="L272" s="147"/>
      <c r="M272" s="147"/>
      <c r="N272" s="147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153"/>
      <c r="F273" s="153"/>
      <c r="G273" s="153"/>
      <c r="H273" s="152"/>
      <c r="I273" s="180"/>
      <c r="J273" s="180"/>
      <c r="K273" s="147"/>
      <c r="L273" s="147"/>
      <c r="M273" s="147"/>
      <c r="N273" s="147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153"/>
      <c r="F274" s="153"/>
      <c r="G274" s="153"/>
      <c r="H274" s="152"/>
      <c r="I274" s="180"/>
      <c r="J274" s="180"/>
      <c r="K274" s="147"/>
      <c r="L274" s="147"/>
      <c r="M274" s="147"/>
      <c r="N274" s="147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153"/>
      <c r="F275" s="153"/>
      <c r="G275" s="153"/>
      <c r="H275" s="152"/>
      <c r="I275" s="180"/>
      <c r="J275" s="180"/>
      <c r="K275" s="147"/>
      <c r="L275" s="147"/>
      <c r="M275" s="147"/>
      <c r="N275" s="147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153"/>
      <c r="F276" s="153"/>
      <c r="G276" s="153"/>
      <c r="H276" s="152"/>
      <c r="I276" s="180"/>
      <c r="J276" s="180"/>
      <c r="K276" s="147"/>
      <c r="L276" s="147"/>
      <c r="M276" s="147"/>
      <c r="N276" s="147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153"/>
      <c r="F277" s="153"/>
      <c r="G277" s="153"/>
      <c r="H277" s="152"/>
      <c r="I277" s="180"/>
      <c r="J277" s="180"/>
      <c r="K277" s="147"/>
      <c r="L277" s="147"/>
      <c r="M277" s="147"/>
      <c r="N277" s="147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153"/>
      <c r="F278" s="153"/>
      <c r="G278" s="153"/>
      <c r="H278" s="152"/>
      <c r="I278" s="180"/>
      <c r="J278" s="180"/>
      <c r="K278" s="147"/>
      <c r="L278" s="147"/>
      <c r="M278" s="147"/>
      <c r="N278" s="147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153"/>
      <c r="F279" s="153"/>
      <c r="G279" s="153"/>
      <c r="H279" s="152"/>
      <c r="I279" s="180"/>
      <c r="J279" s="180"/>
      <c r="K279" s="147"/>
      <c r="L279" s="147"/>
      <c r="M279" s="147"/>
      <c r="N279" s="147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153"/>
      <c r="F280" s="153"/>
      <c r="G280" s="153"/>
      <c r="H280" s="152"/>
      <c r="I280" s="180"/>
      <c r="J280" s="180"/>
      <c r="K280" s="147"/>
      <c r="L280" s="147"/>
      <c r="M280" s="147"/>
      <c r="N280" s="147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153"/>
      <c r="F281" s="153"/>
      <c r="G281" s="153"/>
      <c r="H281" s="152"/>
      <c r="I281" s="180"/>
      <c r="J281" s="180"/>
      <c r="K281" s="147"/>
      <c r="L281" s="147"/>
      <c r="M281" s="147"/>
      <c r="N281" s="147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153"/>
      <c r="F282" s="153"/>
      <c r="G282" s="153"/>
      <c r="H282" s="152"/>
      <c r="I282" s="180"/>
      <c r="J282" s="180"/>
      <c r="K282" s="147"/>
      <c r="L282" s="147"/>
      <c r="M282" s="147"/>
      <c r="N282" s="147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153"/>
      <c r="F283" s="153"/>
      <c r="G283" s="153"/>
      <c r="H283" s="152"/>
      <c r="I283" s="180"/>
      <c r="J283" s="180"/>
      <c r="K283" s="147"/>
      <c r="L283" s="147"/>
      <c r="M283" s="147"/>
      <c r="N283" s="147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153"/>
      <c r="F284" s="153"/>
      <c r="G284" s="153"/>
      <c r="H284" s="152"/>
      <c r="I284" s="180"/>
      <c r="J284" s="180"/>
      <c r="K284" s="147"/>
      <c r="L284" s="147"/>
      <c r="M284" s="147"/>
      <c r="N284" s="147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153"/>
      <c r="F285" s="153"/>
      <c r="G285" s="153"/>
      <c r="H285" s="152"/>
      <c r="I285" s="180"/>
      <c r="J285" s="180"/>
      <c r="K285" s="147"/>
      <c r="L285" s="147"/>
      <c r="M285" s="147"/>
      <c r="N285" s="147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153"/>
      <c r="F286" s="153"/>
      <c r="G286" s="153"/>
      <c r="H286" s="152"/>
      <c r="I286" s="180"/>
      <c r="J286" s="180"/>
      <c r="K286" s="147"/>
      <c r="L286" s="147"/>
      <c r="M286" s="147"/>
      <c r="N286" s="147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153"/>
      <c r="F287" s="153"/>
      <c r="G287" s="153"/>
      <c r="H287" s="152"/>
      <c r="I287" s="180"/>
      <c r="J287" s="180"/>
      <c r="K287" s="147"/>
      <c r="L287" s="147"/>
      <c r="M287" s="147"/>
      <c r="N287" s="147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153"/>
      <c r="F288" s="153"/>
      <c r="G288" s="153"/>
      <c r="H288" s="152"/>
      <c r="I288" s="180"/>
      <c r="J288" s="180"/>
      <c r="K288" s="147"/>
      <c r="L288" s="147"/>
      <c r="M288" s="147"/>
      <c r="N288" s="147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153"/>
      <c r="F289" s="153"/>
      <c r="G289" s="153"/>
      <c r="H289" s="152"/>
      <c r="I289" s="180"/>
      <c r="J289" s="180"/>
      <c r="K289" s="147"/>
      <c r="L289" s="147"/>
      <c r="M289" s="147"/>
      <c r="N289" s="147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153"/>
      <c r="F290" s="153"/>
      <c r="G290" s="153"/>
      <c r="H290" s="152"/>
      <c r="I290" s="180"/>
      <c r="J290" s="180"/>
      <c r="K290" s="147"/>
      <c r="L290" s="147"/>
      <c r="M290" s="147"/>
      <c r="N290" s="147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153"/>
      <c r="F291" s="153"/>
      <c r="G291" s="153"/>
      <c r="H291" s="152"/>
      <c r="I291" s="180"/>
      <c r="J291" s="180"/>
      <c r="K291" s="147"/>
      <c r="L291" s="147"/>
      <c r="M291" s="147"/>
      <c r="N291" s="147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153"/>
      <c r="F292" s="153"/>
      <c r="G292" s="153"/>
      <c r="H292" s="152"/>
      <c r="I292" s="180"/>
      <c r="J292" s="180"/>
      <c r="K292" s="147"/>
      <c r="L292" s="147"/>
      <c r="M292" s="147"/>
      <c r="N292" s="147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153"/>
      <c r="F293" s="153"/>
      <c r="G293" s="153"/>
      <c r="H293" s="152"/>
      <c r="I293" s="180"/>
      <c r="J293" s="180"/>
      <c r="K293" s="147"/>
      <c r="L293" s="147"/>
      <c r="M293" s="147"/>
      <c r="N293" s="147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153"/>
      <c r="F294" s="153"/>
      <c r="G294" s="153"/>
      <c r="H294" s="152"/>
      <c r="I294" s="180"/>
      <c r="J294" s="180"/>
      <c r="K294" s="147"/>
      <c r="L294" s="147"/>
      <c r="M294" s="147"/>
      <c r="N294" s="147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153"/>
      <c r="F295" s="153"/>
      <c r="G295" s="153"/>
      <c r="H295" s="152"/>
      <c r="I295" s="180"/>
      <c r="J295" s="180"/>
      <c r="K295" s="147"/>
      <c r="L295" s="147"/>
      <c r="M295" s="147"/>
      <c r="N295" s="147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153"/>
      <c r="F296" s="153"/>
      <c r="G296" s="153"/>
      <c r="H296" s="152"/>
      <c r="I296" s="180"/>
      <c r="J296" s="180"/>
      <c r="K296" s="147"/>
      <c r="L296" s="147"/>
      <c r="M296" s="147"/>
      <c r="N296" s="147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153"/>
      <c r="F297" s="153"/>
      <c r="G297" s="153"/>
      <c r="H297" s="152"/>
      <c r="I297" s="180"/>
      <c r="J297" s="180"/>
      <c r="K297" s="147"/>
      <c r="L297" s="147"/>
      <c r="M297" s="147"/>
      <c r="N297" s="147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153"/>
      <c r="F298" s="153"/>
      <c r="G298" s="153"/>
      <c r="H298" s="152"/>
      <c r="I298" s="180"/>
      <c r="J298" s="180"/>
      <c r="K298" s="147"/>
      <c r="L298" s="147"/>
      <c r="M298" s="147"/>
      <c r="N298" s="147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153"/>
      <c r="F299" s="153"/>
      <c r="G299" s="153"/>
      <c r="H299" s="152"/>
      <c r="I299" s="180"/>
      <c r="J299" s="180"/>
      <c r="K299" s="147"/>
      <c r="L299" s="147"/>
      <c r="M299" s="147"/>
      <c r="N299" s="147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153"/>
      <c r="F300" s="153"/>
      <c r="G300" s="153"/>
      <c r="H300" s="152"/>
      <c r="I300" s="180"/>
      <c r="J300" s="180"/>
      <c r="K300" s="147"/>
      <c r="L300" s="147"/>
      <c r="M300" s="147"/>
      <c r="N300" s="147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153"/>
      <c r="F301" s="153"/>
      <c r="G301" s="153"/>
      <c r="H301" s="152"/>
      <c r="I301" s="180"/>
      <c r="J301" s="180"/>
      <c r="K301" s="147"/>
      <c r="L301" s="147"/>
      <c r="M301" s="147"/>
      <c r="N301" s="147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153"/>
      <c r="F302" s="153"/>
      <c r="G302" s="153"/>
      <c r="H302" s="152"/>
      <c r="I302" s="180"/>
      <c r="J302" s="180"/>
      <c r="K302" s="147"/>
      <c r="L302" s="147"/>
      <c r="M302" s="147"/>
      <c r="N302" s="147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153"/>
      <c r="F303" s="153"/>
      <c r="G303" s="153"/>
      <c r="H303" s="152"/>
      <c r="I303" s="180"/>
      <c r="J303" s="180"/>
      <c r="K303" s="147"/>
      <c r="L303" s="147"/>
      <c r="M303" s="147"/>
      <c r="N303" s="147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153"/>
      <c r="F304" s="153"/>
      <c r="G304" s="153"/>
      <c r="H304" s="152"/>
      <c r="I304" s="180"/>
      <c r="J304" s="180"/>
      <c r="K304" s="147"/>
      <c r="L304" s="147"/>
      <c r="M304" s="147"/>
      <c r="N304" s="147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153"/>
      <c r="F305" s="153"/>
      <c r="G305" s="153"/>
      <c r="H305" s="152"/>
      <c r="I305" s="180"/>
      <c r="J305" s="180"/>
      <c r="K305" s="147"/>
      <c r="L305" s="147"/>
      <c r="M305" s="147"/>
      <c r="N305" s="147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153"/>
      <c r="F306" s="153"/>
      <c r="G306" s="153"/>
      <c r="H306" s="152"/>
      <c r="I306" s="180"/>
      <c r="J306" s="180"/>
      <c r="K306" s="147"/>
      <c r="L306" s="147"/>
      <c r="M306" s="147"/>
      <c r="N306" s="147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153"/>
      <c r="F307" s="153"/>
      <c r="G307" s="153"/>
      <c r="H307" s="152"/>
      <c r="I307" s="180"/>
      <c r="J307" s="180"/>
      <c r="K307" s="147"/>
      <c r="L307" s="147"/>
      <c r="M307" s="147"/>
      <c r="N307" s="147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153"/>
      <c r="F308" s="153"/>
      <c r="G308" s="153"/>
      <c r="H308" s="152"/>
      <c r="I308" s="180"/>
      <c r="J308" s="180"/>
      <c r="K308" s="147"/>
      <c r="L308" s="147"/>
      <c r="M308" s="147"/>
      <c r="N308" s="147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153"/>
      <c r="F309" s="153"/>
      <c r="G309" s="153"/>
      <c r="H309" s="152"/>
      <c r="I309" s="180"/>
      <c r="J309" s="180"/>
      <c r="K309" s="147"/>
      <c r="L309" s="147"/>
      <c r="M309" s="147"/>
      <c r="N309" s="147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153"/>
      <c r="F310" s="153"/>
      <c r="G310" s="153"/>
      <c r="H310" s="152"/>
      <c r="I310" s="180"/>
      <c r="J310" s="180"/>
      <c r="K310" s="147"/>
      <c r="L310" s="147"/>
      <c r="M310" s="147"/>
      <c r="N310" s="147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153"/>
      <c r="F311" s="153"/>
      <c r="G311" s="153"/>
      <c r="H311" s="152"/>
      <c r="I311" s="180"/>
      <c r="J311" s="180"/>
      <c r="K311" s="147"/>
      <c r="L311" s="147"/>
      <c r="M311" s="147"/>
      <c r="N311" s="147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153"/>
      <c r="F312" s="153"/>
      <c r="G312" s="153"/>
      <c r="H312" s="152"/>
      <c r="I312" s="180"/>
      <c r="J312" s="180"/>
      <c r="K312" s="147"/>
      <c r="L312" s="147"/>
      <c r="M312" s="147"/>
      <c r="N312" s="147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153"/>
      <c r="F313" s="153"/>
      <c r="G313" s="153"/>
      <c r="H313" s="152"/>
      <c r="I313" s="180"/>
      <c r="J313" s="180"/>
      <c r="K313" s="147"/>
      <c r="L313" s="147"/>
      <c r="M313" s="147"/>
      <c r="N313" s="147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153"/>
      <c r="F314" s="153"/>
      <c r="G314" s="153"/>
      <c r="H314" s="152"/>
      <c r="I314" s="180"/>
      <c r="J314" s="180"/>
      <c r="K314" s="147"/>
      <c r="L314" s="147"/>
      <c r="M314" s="147"/>
      <c r="N314" s="147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153"/>
      <c r="F315" s="153"/>
      <c r="G315" s="153"/>
      <c r="H315" s="152"/>
      <c r="I315" s="180"/>
      <c r="J315" s="180"/>
      <c r="K315" s="147"/>
      <c r="L315" s="147"/>
      <c r="M315" s="147"/>
      <c r="N315" s="147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153"/>
      <c r="F316" s="153"/>
      <c r="G316" s="153"/>
      <c r="H316" s="152"/>
      <c r="I316" s="180"/>
      <c r="J316" s="180"/>
      <c r="K316" s="147"/>
      <c r="L316" s="147"/>
      <c r="M316" s="147"/>
      <c r="N316" s="147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153"/>
      <c r="F317" s="153"/>
      <c r="G317" s="153"/>
      <c r="H317" s="152"/>
      <c r="I317" s="180"/>
      <c r="J317" s="180"/>
      <c r="K317" s="147"/>
      <c r="L317" s="147"/>
      <c r="M317" s="147"/>
      <c r="N317" s="147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153"/>
      <c r="F318" s="153"/>
      <c r="G318" s="153"/>
      <c r="H318" s="152"/>
      <c r="I318" s="180"/>
      <c r="J318" s="180"/>
      <c r="K318" s="147"/>
      <c r="L318" s="147"/>
      <c r="M318" s="147"/>
      <c r="N318" s="147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153"/>
      <c r="F319" s="153"/>
      <c r="G319" s="153"/>
      <c r="H319" s="152"/>
      <c r="I319" s="180"/>
      <c r="J319" s="180"/>
      <c r="K319" s="147"/>
      <c r="L319" s="147"/>
      <c r="M319" s="147"/>
      <c r="N319" s="147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153"/>
      <c r="F320" s="153"/>
      <c r="G320" s="153"/>
      <c r="H320" s="152"/>
      <c r="I320" s="180"/>
      <c r="J320" s="180"/>
      <c r="K320" s="147"/>
      <c r="L320" s="147"/>
      <c r="M320" s="147"/>
      <c r="N320" s="147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153"/>
      <c r="F321" s="153"/>
      <c r="G321" s="153"/>
      <c r="H321" s="152"/>
      <c r="I321" s="180"/>
      <c r="J321" s="180"/>
      <c r="K321" s="147"/>
      <c r="L321" s="147"/>
      <c r="M321" s="147"/>
      <c r="N321" s="147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153"/>
      <c r="F322" s="153"/>
      <c r="G322" s="153"/>
      <c r="H322" s="152"/>
      <c r="I322" s="180"/>
      <c r="J322" s="180"/>
      <c r="K322" s="147"/>
      <c r="L322" s="147"/>
      <c r="M322" s="147"/>
      <c r="N322" s="147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153"/>
      <c r="F323" s="153"/>
      <c r="G323" s="153"/>
      <c r="H323" s="152"/>
      <c r="I323" s="180"/>
      <c r="J323" s="180"/>
      <c r="K323" s="147"/>
      <c r="L323" s="147"/>
      <c r="M323" s="147"/>
      <c r="N323" s="147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153"/>
      <c r="F324" s="153"/>
      <c r="G324" s="153"/>
      <c r="H324" s="152"/>
      <c r="I324" s="180"/>
      <c r="J324" s="180"/>
      <c r="K324" s="147"/>
      <c r="L324" s="147"/>
      <c r="M324" s="147"/>
      <c r="N324" s="147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153"/>
      <c r="F325" s="153"/>
      <c r="G325" s="153"/>
      <c r="H325" s="152"/>
      <c r="I325" s="180"/>
      <c r="J325" s="180"/>
      <c r="K325" s="147"/>
      <c r="L325" s="147"/>
      <c r="M325" s="147"/>
      <c r="N325" s="147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153"/>
      <c r="F326" s="153"/>
      <c r="G326" s="153"/>
      <c r="H326" s="152"/>
      <c r="I326" s="180"/>
      <c r="J326" s="180"/>
      <c r="K326" s="147"/>
      <c r="L326" s="147"/>
      <c r="M326" s="147"/>
      <c r="N326" s="147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153"/>
      <c r="F327" s="153"/>
      <c r="G327" s="153"/>
      <c r="H327" s="152"/>
      <c r="I327" s="180"/>
      <c r="J327" s="180"/>
      <c r="K327" s="147"/>
      <c r="L327" s="147"/>
      <c r="M327" s="147"/>
      <c r="N327" s="147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153"/>
      <c r="F328" s="153"/>
      <c r="G328" s="153"/>
      <c r="H328" s="152"/>
      <c r="I328" s="180"/>
      <c r="J328" s="180"/>
      <c r="K328" s="147"/>
      <c r="L328" s="147"/>
      <c r="M328" s="147"/>
      <c r="N328" s="147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153"/>
      <c r="F329" s="153"/>
      <c r="G329" s="153"/>
      <c r="H329" s="152"/>
      <c r="I329" s="180"/>
      <c r="J329" s="180"/>
      <c r="K329" s="147"/>
      <c r="L329" s="147"/>
      <c r="M329" s="147"/>
      <c r="N329" s="147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153"/>
      <c r="F330" s="153"/>
      <c r="G330" s="153"/>
      <c r="H330" s="152"/>
      <c r="I330" s="180"/>
      <c r="J330" s="180"/>
      <c r="K330" s="147"/>
      <c r="L330" s="147"/>
      <c r="M330" s="147"/>
      <c r="N330" s="147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153"/>
      <c r="F331" s="153"/>
      <c r="G331" s="153"/>
      <c r="H331" s="152"/>
      <c r="I331" s="180"/>
      <c r="J331" s="180"/>
      <c r="K331" s="147"/>
      <c r="L331" s="147"/>
      <c r="M331" s="147"/>
      <c r="N331" s="147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153"/>
      <c r="F332" s="153"/>
      <c r="G332" s="153"/>
      <c r="H332" s="152"/>
      <c r="I332" s="180"/>
      <c r="J332" s="180"/>
      <c r="K332" s="147"/>
      <c r="L332" s="147"/>
      <c r="M332" s="147"/>
      <c r="N332" s="147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153"/>
      <c r="F333" s="153"/>
      <c r="G333" s="153"/>
      <c r="H333" s="152"/>
      <c r="I333" s="180"/>
      <c r="J333" s="180"/>
      <c r="K333" s="147"/>
      <c r="L333" s="147"/>
      <c r="M333" s="147"/>
      <c r="N333" s="147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153"/>
      <c r="F334" s="153"/>
      <c r="G334" s="153"/>
      <c r="H334" s="152"/>
      <c r="I334" s="180"/>
      <c r="J334" s="180"/>
      <c r="K334" s="147"/>
      <c r="L334" s="147"/>
      <c r="M334" s="147"/>
      <c r="N334" s="147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153"/>
      <c r="F335" s="153"/>
      <c r="G335" s="153"/>
      <c r="H335" s="152"/>
      <c r="I335" s="180"/>
      <c r="J335" s="180"/>
      <c r="K335" s="147"/>
      <c r="L335" s="147"/>
      <c r="M335" s="147"/>
      <c r="N335" s="147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153"/>
      <c r="F336" s="153"/>
      <c r="G336" s="153"/>
      <c r="H336" s="152"/>
      <c r="I336" s="180"/>
      <c r="J336" s="180"/>
      <c r="K336" s="147"/>
      <c r="L336" s="147"/>
      <c r="M336" s="147"/>
      <c r="N336" s="147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153"/>
      <c r="F337" s="153"/>
      <c r="G337" s="153"/>
      <c r="H337" s="152"/>
      <c r="I337" s="180"/>
      <c r="J337" s="180"/>
      <c r="K337" s="147"/>
      <c r="L337" s="147"/>
      <c r="M337" s="147"/>
      <c r="N337" s="147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153"/>
      <c r="F338" s="153"/>
      <c r="G338" s="153"/>
      <c r="H338" s="152"/>
      <c r="I338" s="180"/>
      <c r="J338" s="180"/>
      <c r="K338" s="147"/>
      <c r="L338" s="147"/>
      <c r="M338" s="147"/>
      <c r="N338" s="147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153"/>
      <c r="F339" s="153"/>
      <c r="G339" s="153"/>
      <c r="H339" s="152"/>
      <c r="I339" s="180"/>
      <c r="J339" s="180"/>
      <c r="K339" s="147"/>
      <c r="L339" s="147"/>
      <c r="M339" s="147"/>
      <c r="N339" s="147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153"/>
      <c r="F340" s="153"/>
      <c r="G340" s="153"/>
      <c r="H340" s="152"/>
      <c r="I340" s="180"/>
      <c r="J340" s="180"/>
      <c r="K340" s="147"/>
      <c r="L340" s="147"/>
      <c r="M340" s="147"/>
      <c r="N340" s="147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153"/>
      <c r="F341" s="153"/>
      <c r="G341" s="153"/>
      <c r="H341" s="152"/>
      <c r="I341" s="180"/>
      <c r="J341" s="180"/>
      <c r="K341" s="147"/>
      <c r="L341" s="147"/>
      <c r="M341" s="147"/>
      <c r="N341" s="147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153"/>
      <c r="F342" s="153"/>
      <c r="G342" s="153"/>
      <c r="H342" s="152"/>
      <c r="I342" s="180"/>
      <c r="J342" s="180"/>
      <c r="K342" s="147"/>
      <c r="L342" s="147"/>
      <c r="M342" s="147"/>
      <c r="N342" s="147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153"/>
      <c r="F343" s="153"/>
      <c r="G343" s="153"/>
      <c r="H343" s="152"/>
      <c r="I343" s="180"/>
      <c r="J343" s="180"/>
      <c r="K343" s="147"/>
      <c r="L343" s="147"/>
      <c r="M343" s="147"/>
      <c r="N343" s="147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153"/>
      <c r="F344" s="153"/>
      <c r="G344" s="153"/>
      <c r="H344" s="152"/>
      <c r="I344" s="180"/>
      <c r="J344" s="180"/>
      <c r="K344" s="147"/>
      <c r="L344" s="147"/>
      <c r="M344" s="147"/>
      <c r="N344" s="147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153"/>
      <c r="F345" s="153"/>
      <c r="G345" s="153"/>
      <c r="H345" s="152"/>
      <c r="I345" s="180"/>
      <c r="J345" s="180"/>
      <c r="K345" s="147"/>
      <c r="L345" s="147"/>
      <c r="M345" s="147"/>
      <c r="N345" s="147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153"/>
      <c r="F346" s="153"/>
      <c r="G346" s="153"/>
      <c r="H346" s="152"/>
      <c r="I346" s="180"/>
      <c r="J346" s="180"/>
      <c r="K346" s="147"/>
      <c r="L346" s="147"/>
      <c r="M346" s="147"/>
      <c r="N346" s="147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153"/>
      <c r="F347" s="153"/>
      <c r="G347" s="153"/>
      <c r="H347" s="152"/>
      <c r="I347" s="180"/>
      <c r="J347" s="180"/>
      <c r="K347" s="147"/>
      <c r="L347" s="147"/>
      <c r="M347" s="147"/>
      <c r="N347" s="147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153"/>
      <c r="F348" s="153"/>
      <c r="G348" s="153"/>
      <c r="H348" s="152"/>
      <c r="I348" s="180"/>
      <c r="J348" s="180"/>
      <c r="K348" s="147"/>
      <c r="L348" s="147"/>
      <c r="M348" s="147"/>
      <c r="N348" s="147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153"/>
      <c r="F349" s="153"/>
      <c r="G349" s="153"/>
      <c r="H349" s="152"/>
      <c r="I349" s="180"/>
      <c r="J349" s="180"/>
      <c r="K349" s="147"/>
      <c r="L349" s="147"/>
      <c r="M349" s="147"/>
      <c r="N349" s="147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153"/>
      <c r="F350" s="153"/>
      <c r="G350" s="153"/>
      <c r="H350" s="152"/>
      <c r="I350" s="180"/>
      <c r="J350" s="180"/>
      <c r="K350" s="147"/>
      <c r="L350" s="147"/>
      <c r="M350" s="147"/>
      <c r="N350" s="147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153"/>
      <c r="F351" s="153"/>
      <c r="G351" s="153"/>
      <c r="H351" s="152"/>
      <c r="I351" s="180"/>
      <c r="J351" s="180"/>
      <c r="K351" s="147"/>
      <c r="L351" s="147"/>
      <c r="M351" s="147"/>
      <c r="N351" s="147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153"/>
      <c r="F352" s="153"/>
      <c r="G352" s="153"/>
      <c r="H352" s="152"/>
      <c r="I352" s="180"/>
      <c r="J352" s="180"/>
      <c r="K352" s="147"/>
      <c r="L352" s="147"/>
      <c r="M352" s="147"/>
      <c r="N352" s="147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153"/>
      <c r="F353" s="153"/>
      <c r="G353" s="153"/>
      <c r="H353" s="152"/>
      <c r="I353" s="180"/>
      <c r="J353" s="180"/>
      <c r="K353" s="147"/>
      <c r="L353" s="147"/>
      <c r="M353" s="147"/>
      <c r="N353" s="147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153"/>
      <c r="F354" s="153"/>
      <c r="G354" s="153"/>
      <c r="H354" s="152"/>
      <c r="I354" s="180"/>
      <c r="J354" s="180"/>
      <c r="K354" s="147"/>
      <c r="L354" s="147"/>
      <c r="M354" s="147"/>
      <c r="N354" s="147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153"/>
      <c r="F355" s="153"/>
      <c r="G355" s="153"/>
      <c r="H355" s="152"/>
      <c r="I355" s="180"/>
      <c r="J355" s="180"/>
      <c r="K355" s="147"/>
      <c r="L355" s="147"/>
      <c r="M355" s="147"/>
      <c r="N355" s="147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153"/>
      <c r="F356" s="153"/>
      <c r="G356" s="153"/>
      <c r="H356" s="152"/>
      <c r="I356" s="180"/>
      <c r="J356" s="180"/>
      <c r="K356" s="147"/>
      <c r="L356" s="147"/>
      <c r="M356" s="147"/>
      <c r="N356" s="147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153"/>
      <c r="F357" s="153"/>
      <c r="G357" s="153"/>
      <c r="H357" s="152"/>
      <c r="I357" s="180"/>
      <c r="J357" s="180"/>
      <c r="K357" s="147"/>
      <c r="L357" s="147"/>
      <c r="M357" s="147"/>
      <c r="N357" s="147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153"/>
      <c r="F358" s="153"/>
      <c r="G358" s="153"/>
      <c r="H358" s="152"/>
      <c r="I358" s="180"/>
      <c r="J358" s="180"/>
      <c r="K358" s="147"/>
      <c r="L358" s="147"/>
      <c r="M358" s="147"/>
      <c r="N358" s="147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153"/>
      <c r="F359" s="153"/>
      <c r="G359" s="153"/>
      <c r="H359" s="152"/>
      <c r="I359" s="180"/>
      <c r="J359" s="180"/>
      <c r="K359" s="147"/>
      <c r="L359" s="147"/>
      <c r="M359" s="147"/>
      <c r="N359" s="147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153"/>
      <c r="F360" s="153"/>
      <c r="G360" s="153"/>
      <c r="H360" s="152"/>
      <c r="I360" s="180"/>
      <c r="J360" s="180"/>
      <c r="K360" s="147"/>
      <c r="L360" s="147"/>
      <c r="M360" s="147"/>
      <c r="N360" s="147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153"/>
      <c r="F361" s="153"/>
      <c r="G361" s="153"/>
      <c r="H361" s="152"/>
      <c r="I361" s="180"/>
      <c r="J361" s="180"/>
      <c r="K361" s="147"/>
      <c r="L361" s="147"/>
      <c r="M361" s="147"/>
      <c r="N361" s="147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153"/>
      <c r="F362" s="153"/>
      <c r="G362" s="153"/>
      <c r="H362" s="152"/>
      <c r="I362" s="180"/>
      <c r="J362" s="180"/>
      <c r="K362" s="147"/>
      <c r="L362" s="147"/>
      <c r="M362" s="147"/>
      <c r="N362" s="147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153"/>
      <c r="F363" s="153"/>
      <c r="G363" s="153"/>
      <c r="H363" s="152"/>
      <c r="I363" s="180"/>
      <c r="J363" s="180"/>
      <c r="K363" s="147"/>
      <c r="L363" s="147"/>
      <c r="M363" s="147"/>
      <c r="N363" s="147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153"/>
      <c r="F364" s="153"/>
      <c r="G364" s="153"/>
      <c r="H364" s="152"/>
      <c r="I364" s="180"/>
      <c r="J364" s="180"/>
      <c r="K364" s="147"/>
      <c r="L364" s="147"/>
      <c r="M364" s="147"/>
      <c r="N364" s="147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153"/>
      <c r="F365" s="153"/>
      <c r="G365" s="153"/>
      <c r="H365" s="152"/>
      <c r="I365" s="180"/>
      <c r="J365" s="180"/>
      <c r="K365" s="147"/>
      <c r="L365" s="147"/>
      <c r="M365" s="147"/>
      <c r="N365" s="147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153"/>
      <c r="F366" s="153"/>
      <c r="G366" s="153"/>
      <c r="H366" s="152"/>
      <c r="I366" s="180"/>
      <c r="J366" s="180"/>
      <c r="K366" s="147"/>
      <c r="L366" s="147"/>
      <c r="M366" s="147"/>
      <c r="N366" s="147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153"/>
      <c r="F367" s="153"/>
      <c r="G367" s="153"/>
      <c r="H367" s="152"/>
      <c r="I367" s="180"/>
      <c r="J367" s="180"/>
      <c r="K367" s="147"/>
      <c r="L367" s="147"/>
      <c r="M367" s="147"/>
      <c r="N367" s="147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153"/>
      <c r="F368" s="153"/>
      <c r="G368" s="153"/>
      <c r="H368" s="152"/>
      <c r="I368" s="180"/>
      <c r="J368" s="180"/>
      <c r="K368" s="147"/>
      <c r="L368" s="147"/>
      <c r="M368" s="147"/>
      <c r="N368" s="147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153"/>
      <c r="F369" s="153"/>
      <c r="G369" s="153"/>
      <c r="H369" s="152"/>
      <c r="I369" s="180"/>
      <c r="J369" s="180"/>
      <c r="K369" s="147"/>
      <c r="L369" s="147"/>
      <c r="M369" s="147"/>
      <c r="N369" s="147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153"/>
      <c r="F370" s="153"/>
      <c r="G370" s="153"/>
      <c r="H370" s="152"/>
      <c r="I370" s="180"/>
      <c r="J370" s="180"/>
      <c r="K370" s="147"/>
      <c r="L370" s="147"/>
      <c r="M370" s="147"/>
      <c r="N370" s="147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153"/>
      <c r="F371" s="153"/>
      <c r="G371" s="153"/>
      <c r="H371" s="152"/>
      <c r="I371" s="180"/>
      <c r="J371" s="180"/>
      <c r="K371" s="147"/>
      <c r="L371" s="147"/>
      <c r="M371" s="147"/>
      <c r="N371" s="147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153"/>
      <c r="F372" s="153"/>
      <c r="G372" s="153"/>
      <c r="H372" s="152"/>
      <c r="I372" s="180"/>
      <c r="J372" s="180"/>
      <c r="K372" s="147"/>
      <c r="L372" s="147"/>
      <c r="M372" s="147"/>
      <c r="N372" s="147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153"/>
      <c r="F373" s="153"/>
      <c r="G373" s="153"/>
      <c r="H373" s="152"/>
      <c r="I373" s="180"/>
      <c r="J373" s="180"/>
      <c r="K373" s="147"/>
      <c r="L373" s="147"/>
      <c r="M373" s="147"/>
      <c r="N373" s="147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153"/>
      <c r="F374" s="153"/>
      <c r="G374" s="153"/>
      <c r="H374" s="152"/>
      <c r="I374" s="180"/>
      <c r="J374" s="180"/>
      <c r="K374" s="147"/>
      <c r="L374" s="147"/>
      <c r="M374" s="147"/>
      <c r="N374" s="147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153"/>
      <c r="F375" s="153"/>
      <c r="G375" s="153"/>
      <c r="H375" s="152"/>
      <c r="I375" s="180"/>
      <c r="J375" s="180"/>
      <c r="K375" s="147"/>
      <c r="L375" s="147"/>
      <c r="M375" s="147"/>
      <c r="N375" s="147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153"/>
      <c r="F376" s="153"/>
      <c r="G376" s="153"/>
      <c r="H376" s="152"/>
      <c r="I376" s="180"/>
      <c r="J376" s="180"/>
      <c r="K376" s="147"/>
      <c r="L376" s="147"/>
      <c r="M376" s="147"/>
      <c r="N376" s="147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153"/>
      <c r="F377" s="153"/>
      <c r="G377" s="153"/>
      <c r="H377" s="152"/>
      <c r="I377" s="180"/>
      <c r="J377" s="180"/>
      <c r="K377" s="147"/>
      <c r="L377" s="147"/>
      <c r="M377" s="147"/>
      <c r="N377" s="147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153"/>
      <c r="F378" s="153"/>
      <c r="G378" s="153"/>
      <c r="H378" s="152"/>
      <c r="I378" s="180"/>
      <c r="J378" s="180"/>
      <c r="K378" s="147"/>
      <c r="L378" s="147"/>
      <c r="M378" s="147"/>
      <c r="N378" s="147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153"/>
      <c r="F379" s="153"/>
      <c r="G379" s="153"/>
      <c r="H379" s="152"/>
      <c r="I379" s="180"/>
      <c r="J379" s="180"/>
      <c r="K379" s="147"/>
      <c r="L379" s="147"/>
      <c r="M379" s="147"/>
      <c r="N379" s="147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153"/>
      <c r="F380" s="153"/>
      <c r="G380" s="153"/>
      <c r="H380" s="152"/>
      <c r="I380" s="180"/>
      <c r="J380" s="180"/>
      <c r="K380" s="147"/>
      <c r="L380" s="147"/>
      <c r="M380" s="147"/>
      <c r="N380" s="147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153"/>
      <c r="F381" s="153"/>
      <c r="G381" s="153"/>
      <c r="H381" s="152"/>
      <c r="I381" s="180"/>
      <c r="J381" s="180"/>
      <c r="K381" s="147"/>
      <c r="L381" s="147"/>
      <c r="M381" s="147"/>
      <c r="N381" s="147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153"/>
      <c r="F382" s="153"/>
      <c r="G382" s="153"/>
      <c r="H382" s="152"/>
      <c r="I382" s="180"/>
      <c r="J382" s="180"/>
      <c r="K382" s="147"/>
      <c r="L382" s="147"/>
      <c r="M382" s="147"/>
      <c r="N382" s="147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153"/>
      <c r="F383" s="153"/>
      <c r="G383" s="153"/>
      <c r="H383" s="152"/>
      <c r="I383" s="180"/>
      <c r="J383" s="180"/>
      <c r="K383" s="147"/>
      <c r="L383" s="147"/>
      <c r="M383" s="147"/>
      <c r="N383" s="147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153"/>
      <c r="F384" s="153"/>
      <c r="G384" s="153"/>
      <c r="H384" s="152"/>
      <c r="I384" s="180"/>
      <c r="J384" s="180"/>
      <c r="K384" s="147"/>
      <c r="L384" s="147"/>
      <c r="M384" s="147"/>
      <c r="N384" s="147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153"/>
      <c r="F385" s="153"/>
      <c r="G385" s="153"/>
      <c r="H385" s="152"/>
      <c r="I385" s="180"/>
      <c r="J385" s="180"/>
      <c r="K385" s="147"/>
      <c r="L385" s="147"/>
      <c r="M385" s="147"/>
      <c r="N385" s="147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153"/>
      <c r="F386" s="153"/>
      <c r="G386" s="153"/>
      <c r="H386" s="152"/>
      <c r="I386" s="180"/>
      <c r="J386" s="180"/>
      <c r="K386" s="147"/>
      <c r="L386" s="147"/>
      <c r="M386" s="147"/>
      <c r="N386" s="147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153"/>
      <c r="F387" s="153"/>
      <c r="G387" s="153"/>
      <c r="H387" s="152"/>
      <c r="I387" s="180"/>
      <c r="J387" s="180"/>
      <c r="K387" s="147"/>
      <c r="L387" s="147"/>
      <c r="M387" s="147"/>
      <c r="N387" s="147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153"/>
      <c r="F388" s="153"/>
      <c r="G388" s="153"/>
      <c r="H388" s="152"/>
      <c r="I388" s="180"/>
      <c r="J388" s="180"/>
      <c r="K388" s="147"/>
      <c r="L388" s="147"/>
      <c r="M388" s="147"/>
      <c r="N388" s="147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153"/>
      <c r="F389" s="153"/>
      <c r="G389" s="153"/>
      <c r="H389" s="152"/>
      <c r="I389" s="180"/>
      <c r="J389" s="180"/>
      <c r="K389" s="147"/>
      <c r="L389" s="147"/>
      <c r="M389" s="147"/>
      <c r="N389" s="147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153"/>
      <c r="F390" s="153"/>
      <c r="G390" s="153"/>
      <c r="H390" s="152"/>
      <c r="I390" s="180"/>
      <c r="J390" s="180"/>
      <c r="K390" s="147"/>
      <c r="L390" s="147"/>
      <c r="M390" s="147"/>
      <c r="N390" s="147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153"/>
      <c r="F391" s="153"/>
      <c r="G391" s="153"/>
      <c r="H391" s="152"/>
      <c r="I391" s="180"/>
      <c r="J391" s="180"/>
      <c r="K391" s="147"/>
      <c r="L391" s="147"/>
      <c r="M391" s="147"/>
      <c r="N391" s="147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153"/>
      <c r="F392" s="153"/>
      <c r="G392" s="153"/>
      <c r="H392" s="152"/>
      <c r="I392" s="180"/>
      <c r="J392" s="180"/>
      <c r="K392" s="147"/>
      <c r="L392" s="147"/>
      <c r="M392" s="147"/>
      <c r="N392" s="147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153"/>
      <c r="F393" s="153"/>
      <c r="G393" s="153"/>
      <c r="H393" s="152"/>
      <c r="I393" s="180"/>
      <c r="J393" s="180"/>
      <c r="K393" s="147"/>
      <c r="L393" s="147"/>
      <c r="M393" s="147"/>
      <c r="N393" s="147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153"/>
      <c r="F394" s="153"/>
      <c r="G394" s="153"/>
      <c r="H394" s="152"/>
      <c r="I394" s="180"/>
      <c r="J394" s="180"/>
      <c r="K394" s="147"/>
      <c r="L394" s="147"/>
      <c r="M394" s="147"/>
      <c r="N394" s="147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153"/>
      <c r="F395" s="153"/>
      <c r="G395" s="153"/>
      <c r="H395" s="152"/>
      <c r="I395" s="180"/>
      <c r="J395" s="180"/>
      <c r="K395" s="147"/>
      <c r="L395" s="147"/>
      <c r="M395" s="147"/>
      <c r="N395" s="147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153"/>
      <c r="F396" s="153"/>
      <c r="G396" s="153"/>
      <c r="H396" s="152"/>
      <c r="I396" s="180"/>
      <c r="J396" s="180"/>
      <c r="K396" s="147"/>
      <c r="L396" s="147"/>
      <c r="M396" s="147"/>
      <c r="N396" s="147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153"/>
      <c r="F397" s="153"/>
      <c r="G397" s="153"/>
      <c r="H397" s="152"/>
      <c r="I397" s="180"/>
      <c r="J397" s="180"/>
      <c r="K397" s="147"/>
      <c r="L397" s="147"/>
      <c r="M397" s="147"/>
      <c r="N397" s="147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153"/>
      <c r="F398" s="153"/>
      <c r="G398" s="153"/>
      <c r="H398" s="152"/>
      <c r="I398" s="180"/>
      <c r="J398" s="180"/>
      <c r="K398" s="147"/>
      <c r="L398" s="147"/>
      <c r="M398" s="147"/>
      <c r="N398" s="147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153"/>
      <c r="F399" s="153"/>
      <c r="G399" s="153"/>
      <c r="H399" s="152"/>
      <c r="I399" s="180"/>
      <c r="J399" s="180"/>
      <c r="K399" s="147"/>
      <c r="L399" s="147"/>
      <c r="M399" s="147"/>
      <c r="N399" s="147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153"/>
      <c r="F400" s="153"/>
      <c r="G400" s="153"/>
      <c r="H400" s="152"/>
      <c r="I400" s="180"/>
      <c r="J400" s="180"/>
      <c r="K400" s="147"/>
      <c r="L400" s="147"/>
      <c r="M400" s="147"/>
      <c r="N400" s="147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153"/>
      <c r="F401" s="153"/>
      <c r="G401" s="153"/>
      <c r="H401" s="152"/>
      <c r="I401" s="180"/>
      <c r="J401" s="180"/>
      <c r="K401" s="147"/>
      <c r="L401" s="147"/>
      <c r="M401" s="147"/>
      <c r="N401" s="147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153"/>
      <c r="F402" s="153"/>
      <c r="G402" s="153"/>
      <c r="H402" s="152"/>
      <c r="I402" s="180"/>
      <c r="J402" s="180"/>
      <c r="K402" s="147"/>
      <c r="L402" s="147"/>
      <c r="M402" s="147"/>
      <c r="N402" s="147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153"/>
      <c r="F403" s="153"/>
      <c r="G403" s="153"/>
      <c r="H403" s="152"/>
      <c r="I403" s="180"/>
      <c r="J403" s="180"/>
      <c r="K403" s="147"/>
      <c r="L403" s="147"/>
      <c r="M403" s="147"/>
      <c r="N403" s="147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153"/>
      <c r="F404" s="153"/>
      <c r="G404" s="153"/>
      <c r="H404" s="152"/>
      <c r="I404" s="180"/>
      <c r="J404" s="180"/>
      <c r="K404" s="147"/>
      <c r="L404" s="147"/>
      <c r="M404" s="147"/>
      <c r="N404" s="147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153"/>
      <c r="F405" s="153"/>
      <c r="G405" s="153"/>
      <c r="H405" s="152"/>
      <c r="I405" s="180"/>
      <c r="J405" s="180"/>
      <c r="K405" s="147"/>
      <c r="L405" s="147"/>
      <c r="M405" s="147"/>
      <c r="N405" s="147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153"/>
      <c r="F406" s="153"/>
      <c r="G406" s="153"/>
      <c r="H406" s="152"/>
      <c r="I406" s="180"/>
      <c r="J406" s="180"/>
      <c r="K406" s="147"/>
      <c r="L406" s="147"/>
      <c r="M406" s="147"/>
      <c r="N406" s="147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153"/>
      <c r="F407" s="153"/>
      <c r="G407" s="153"/>
      <c r="H407" s="152"/>
      <c r="I407" s="180"/>
      <c r="J407" s="180"/>
      <c r="K407" s="147"/>
      <c r="L407" s="147"/>
      <c r="M407" s="147"/>
      <c r="N407" s="147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153"/>
      <c r="F408" s="153"/>
      <c r="G408" s="153"/>
      <c r="H408" s="152"/>
      <c r="I408" s="180"/>
      <c r="J408" s="180"/>
      <c r="K408" s="147"/>
      <c r="L408" s="147"/>
      <c r="M408" s="147"/>
      <c r="N408" s="147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153"/>
      <c r="F409" s="153"/>
      <c r="G409" s="153"/>
      <c r="H409" s="152"/>
      <c r="I409" s="180"/>
      <c r="J409" s="180"/>
      <c r="K409" s="147"/>
      <c r="L409" s="147"/>
      <c r="M409" s="147"/>
      <c r="N409" s="147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153"/>
      <c r="F410" s="153"/>
      <c r="G410" s="153"/>
      <c r="H410" s="152"/>
      <c r="I410" s="180"/>
      <c r="J410" s="180"/>
      <c r="K410" s="147"/>
      <c r="L410" s="147"/>
      <c r="M410" s="147"/>
      <c r="N410" s="147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153"/>
      <c r="F411" s="153"/>
      <c r="G411" s="153"/>
      <c r="H411" s="152"/>
      <c r="I411" s="180"/>
      <c r="J411" s="180"/>
      <c r="K411" s="147"/>
      <c r="L411" s="147"/>
      <c r="M411" s="147"/>
      <c r="N411" s="147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153"/>
      <c r="F412" s="153"/>
      <c r="G412" s="153"/>
      <c r="H412" s="152"/>
      <c r="I412" s="180"/>
      <c r="J412" s="180"/>
      <c r="K412" s="147"/>
      <c r="L412" s="147"/>
      <c r="M412" s="147"/>
      <c r="N412" s="147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153"/>
      <c r="F413" s="153"/>
      <c r="G413" s="153"/>
      <c r="H413" s="152"/>
      <c r="I413" s="180"/>
      <c r="J413" s="180"/>
      <c r="K413" s="147"/>
      <c r="L413" s="147"/>
      <c r="M413" s="147"/>
      <c r="N413" s="147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153"/>
      <c r="F414" s="153"/>
      <c r="G414" s="153"/>
      <c r="H414" s="152"/>
      <c r="I414" s="180"/>
      <c r="J414" s="180"/>
      <c r="K414" s="147"/>
      <c r="L414" s="147"/>
      <c r="M414" s="147"/>
      <c r="N414" s="147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153"/>
      <c r="F415" s="153"/>
      <c r="G415" s="153"/>
      <c r="H415" s="152"/>
      <c r="I415" s="180"/>
      <c r="J415" s="180"/>
      <c r="K415" s="147"/>
      <c r="L415" s="147"/>
      <c r="M415" s="147"/>
      <c r="N415" s="147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153"/>
      <c r="F416" s="153"/>
      <c r="G416" s="153"/>
      <c r="H416" s="152"/>
      <c r="I416" s="180"/>
      <c r="J416" s="180"/>
      <c r="K416" s="147"/>
      <c r="L416" s="147"/>
      <c r="M416" s="147"/>
      <c r="N416" s="147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153"/>
      <c r="F417" s="153"/>
      <c r="G417" s="153"/>
      <c r="H417" s="152"/>
      <c r="I417" s="180"/>
      <c r="J417" s="180"/>
      <c r="K417" s="147"/>
      <c r="L417" s="147"/>
      <c r="M417" s="147"/>
      <c r="N417" s="147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153"/>
      <c r="F418" s="153"/>
      <c r="G418" s="153"/>
      <c r="H418" s="152"/>
      <c r="I418" s="180"/>
      <c r="J418" s="180"/>
      <c r="K418" s="147"/>
      <c r="L418" s="147"/>
      <c r="M418" s="147"/>
      <c r="N418" s="147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153"/>
      <c r="F419" s="153"/>
      <c r="G419" s="153"/>
      <c r="H419" s="152"/>
      <c r="I419" s="180"/>
      <c r="J419" s="180"/>
      <c r="K419" s="147"/>
      <c r="L419" s="147"/>
      <c r="M419" s="147"/>
      <c r="N419" s="147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153"/>
      <c r="F420" s="153"/>
      <c r="G420" s="153"/>
      <c r="H420" s="152"/>
      <c r="I420" s="180"/>
      <c r="J420" s="180"/>
      <c r="K420" s="147"/>
      <c r="L420" s="147"/>
      <c r="M420" s="147"/>
      <c r="N420" s="147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153"/>
      <c r="F421" s="153"/>
      <c r="G421" s="153"/>
      <c r="H421" s="152"/>
      <c r="I421" s="180"/>
      <c r="J421" s="180"/>
      <c r="K421" s="147"/>
      <c r="L421" s="147"/>
      <c r="M421" s="147"/>
      <c r="N421" s="147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153"/>
      <c r="F422" s="153"/>
      <c r="G422" s="153"/>
      <c r="H422" s="152"/>
      <c r="I422" s="180"/>
      <c r="J422" s="180"/>
      <c r="K422" s="147"/>
      <c r="L422" s="147"/>
      <c r="M422" s="147"/>
      <c r="N422" s="147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153"/>
      <c r="F423" s="153"/>
      <c r="G423" s="153"/>
      <c r="H423" s="152"/>
      <c r="I423" s="180"/>
      <c r="J423" s="180"/>
      <c r="K423" s="147"/>
      <c r="L423" s="147"/>
      <c r="M423" s="147"/>
      <c r="N423" s="147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153"/>
      <c r="F424" s="153"/>
      <c r="G424" s="153"/>
      <c r="H424" s="152"/>
      <c r="I424" s="180"/>
      <c r="J424" s="180"/>
      <c r="K424" s="147"/>
      <c r="L424" s="147"/>
      <c r="M424" s="147"/>
      <c r="N424" s="147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153"/>
      <c r="F425" s="153"/>
      <c r="G425" s="153"/>
      <c r="H425" s="152"/>
      <c r="I425" s="180"/>
      <c r="J425" s="180"/>
      <c r="K425" s="147"/>
      <c r="L425" s="147"/>
      <c r="M425" s="147"/>
      <c r="N425" s="147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153"/>
      <c r="F426" s="153"/>
      <c r="G426" s="153"/>
      <c r="H426" s="152"/>
      <c r="I426" s="180"/>
      <c r="J426" s="180"/>
      <c r="K426" s="147"/>
      <c r="L426" s="147"/>
      <c r="M426" s="147"/>
      <c r="N426" s="147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153"/>
      <c r="F427" s="153"/>
      <c r="G427" s="153"/>
      <c r="H427" s="152"/>
      <c r="I427" s="180"/>
      <c r="J427" s="180"/>
      <c r="K427" s="147"/>
      <c r="L427" s="147"/>
      <c r="M427" s="147"/>
      <c r="N427" s="147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153"/>
      <c r="F428" s="153"/>
      <c r="G428" s="153"/>
      <c r="H428" s="152"/>
      <c r="I428" s="180"/>
      <c r="J428" s="180"/>
      <c r="K428" s="147"/>
      <c r="L428" s="147"/>
      <c r="M428" s="147"/>
      <c r="N428" s="147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153"/>
      <c r="F429" s="153"/>
      <c r="G429" s="153"/>
      <c r="H429" s="152"/>
      <c r="I429" s="180"/>
      <c r="J429" s="180"/>
      <c r="K429" s="147"/>
      <c r="L429" s="147"/>
      <c r="M429" s="147"/>
      <c r="N429" s="147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153"/>
      <c r="F430" s="153"/>
      <c r="G430" s="153"/>
      <c r="H430" s="152"/>
      <c r="I430" s="180"/>
      <c r="J430" s="180"/>
      <c r="K430" s="147"/>
      <c r="L430" s="147"/>
      <c r="M430" s="147"/>
      <c r="N430" s="147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153"/>
      <c r="F431" s="153"/>
      <c r="G431" s="153"/>
      <c r="H431" s="152"/>
      <c r="I431" s="180"/>
      <c r="J431" s="180"/>
      <c r="K431" s="147"/>
      <c r="L431" s="147"/>
      <c r="M431" s="147"/>
      <c r="N431" s="147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153"/>
      <c r="F432" s="153"/>
      <c r="G432" s="153"/>
      <c r="H432" s="152"/>
      <c r="I432" s="180"/>
      <c r="J432" s="180"/>
      <c r="K432" s="147"/>
      <c r="L432" s="147"/>
      <c r="M432" s="147"/>
      <c r="N432" s="147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153"/>
      <c r="F433" s="153"/>
      <c r="G433" s="153"/>
      <c r="H433" s="152"/>
      <c r="I433" s="180"/>
      <c r="J433" s="180"/>
      <c r="K433" s="147"/>
      <c r="L433" s="147"/>
      <c r="M433" s="147"/>
      <c r="N433" s="147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153"/>
      <c r="F434" s="153"/>
      <c r="G434" s="153"/>
      <c r="H434" s="152"/>
      <c r="I434" s="180"/>
      <c r="J434" s="180"/>
      <c r="K434" s="147"/>
      <c r="L434" s="147"/>
      <c r="M434" s="147"/>
      <c r="N434" s="147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153"/>
      <c r="F435" s="153"/>
      <c r="G435" s="153"/>
      <c r="H435" s="152"/>
      <c r="I435" s="180"/>
      <c r="J435" s="180"/>
      <c r="K435" s="147"/>
      <c r="L435" s="147"/>
      <c r="M435" s="147"/>
      <c r="N435" s="147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153"/>
      <c r="F436" s="153"/>
      <c r="G436" s="153"/>
      <c r="H436" s="152"/>
      <c r="I436" s="180"/>
      <c r="J436" s="180"/>
      <c r="K436" s="147"/>
      <c r="L436" s="147"/>
      <c r="M436" s="147"/>
      <c r="N436" s="147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153"/>
      <c r="F437" s="153"/>
      <c r="G437" s="153"/>
      <c r="H437" s="152"/>
      <c r="I437" s="180"/>
      <c r="J437" s="180"/>
      <c r="K437" s="147"/>
      <c r="L437" s="147"/>
      <c r="M437" s="147"/>
      <c r="N437" s="147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153"/>
      <c r="F438" s="153"/>
      <c r="G438" s="153"/>
      <c r="H438" s="152"/>
      <c r="I438" s="180"/>
      <c r="J438" s="180"/>
      <c r="K438" s="147"/>
      <c r="L438" s="147"/>
      <c r="M438" s="147"/>
      <c r="N438" s="147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153"/>
      <c r="F439" s="153"/>
      <c r="G439" s="153"/>
      <c r="H439" s="152"/>
      <c r="I439" s="180"/>
      <c r="J439" s="180"/>
      <c r="K439" s="147"/>
      <c r="L439" s="147"/>
      <c r="M439" s="147"/>
      <c r="N439" s="147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153"/>
      <c r="F440" s="153"/>
      <c r="G440" s="153"/>
      <c r="H440" s="152"/>
      <c r="I440" s="180"/>
      <c r="J440" s="180"/>
      <c r="K440" s="147"/>
      <c r="L440" s="147"/>
      <c r="M440" s="147"/>
      <c r="N440" s="147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153"/>
      <c r="F441" s="153"/>
      <c r="G441" s="153"/>
      <c r="H441" s="152"/>
      <c r="I441" s="180"/>
      <c r="J441" s="180"/>
      <c r="K441" s="147"/>
      <c r="L441" s="147"/>
      <c r="M441" s="147"/>
      <c r="N441" s="147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153"/>
      <c r="F442" s="153"/>
      <c r="G442" s="153"/>
      <c r="H442" s="152"/>
      <c r="I442" s="180"/>
      <c r="J442" s="180"/>
      <c r="K442" s="147"/>
      <c r="L442" s="147"/>
      <c r="M442" s="147"/>
      <c r="N442" s="147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153"/>
      <c r="F443" s="153"/>
      <c r="G443" s="153"/>
      <c r="H443" s="152"/>
      <c r="I443" s="180"/>
      <c r="J443" s="180"/>
      <c r="K443" s="147"/>
      <c r="L443" s="147"/>
      <c r="M443" s="147"/>
      <c r="N443" s="147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153"/>
      <c r="F444" s="153"/>
      <c r="G444" s="153"/>
      <c r="H444" s="152"/>
      <c r="I444" s="180"/>
      <c r="J444" s="180"/>
      <c r="K444" s="147"/>
      <c r="L444" s="147"/>
      <c r="M444" s="147"/>
      <c r="N444" s="147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153"/>
      <c r="F445" s="153"/>
      <c r="G445" s="153"/>
      <c r="H445" s="152"/>
      <c r="I445" s="180"/>
      <c r="J445" s="180"/>
      <c r="K445" s="147"/>
      <c r="L445" s="147"/>
      <c r="M445" s="147"/>
      <c r="N445" s="147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153"/>
      <c r="F446" s="153"/>
      <c r="G446" s="153"/>
      <c r="H446" s="152"/>
      <c r="I446" s="180"/>
      <c r="J446" s="180"/>
      <c r="K446" s="147"/>
      <c r="L446" s="147"/>
      <c r="M446" s="147"/>
      <c r="N446" s="147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153"/>
      <c r="F447" s="153"/>
      <c r="G447" s="153"/>
      <c r="H447" s="152"/>
      <c r="I447" s="180"/>
      <c r="J447" s="180"/>
      <c r="K447" s="147"/>
      <c r="L447" s="147"/>
      <c r="M447" s="147"/>
      <c r="N447" s="147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153"/>
      <c r="F448" s="153"/>
      <c r="G448" s="153"/>
      <c r="H448" s="152"/>
      <c r="I448" s="180"/>
      <c r="J448" s="180"/>
      <c r="K448" s="147"/>
      <c r="L448" s="147"/>
      <c r="M448" s="147"/>
      <c r="N448" s="147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153"/>
      <c r="F449" s="153"/>
      <c r="G449" s="153"/>
      <c r="H449" s="152"/>
      <c r="I449" s="180"/>
      <c r="J449" s="180"/>
      <c r="K449" s="147"/>
      <c r="L449" s="147"/>
      <c r="M449" s="147"/>
      <c r="N449" s="147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153"/>
      <c r="F450" s="153"/>
      <c r="G450" s="153"/>
      <c r="H450" s="152"/>
      <c r="I450" s="180"/>
      <c r="J450" s="180"/>
      <c r="K450" s="147"/>
      <c r="L450" s="147"/>
      <c r="M450" s="147"/>
      <c r="N450" s="147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153"/>
      <c r="F451" s="153"/>
      <c r="G451" s="153"/>
      <c r="H451" s="152"/>
      <c r="I451" s="180"/>
      <c r="J451" s="180"/>
      <c r="K451" s="147"/>
      <c r="L451" s="147"/>
      <c r="M451" s="147"/>
      <c r="N451" s="147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153"/>
      <c r="F452" s="153"/>
      <c r="G452" s="153"/>
      <c r="H452" s="152"/>
      <c r="I452" s="180"/>
      <c r="J452" s="180"/>
      <c r="K452" s="147"/>
      <c r="L452" s="147"/>
      <c r="M452" s="147"/>
      <c r="N452" s="147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153"/>
      <c r="F453" s="153"/>
      <c r="G453" s="153"/>
      <c r="H453" s="152"/>
      <c r="I453" s="180"/>
      <c r="J453" s="180"/>
      <c r="K453" s="147"/>
      <c r="L453" s="147"/>
      <c r="M453" s="147"/>
      <c r="N453" s="147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153"/>
      <c r="F454" s="153"/>
      <c r="G454" s="153"/>
      <c r="H454" s="152"/>
      <c r="I454" s="180"/>
      <c r="J454" s="180"/>
      <c r="K454" s="147"/>
      <c r="L454" s="147"/>
      <c r="M454" s="147"/>
      <c r="N454" s="147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153"/>
      <c r="F455" s="153"/>
      <c r="G455" s="153"/>
      <c r="H455" s="152"/>
      <c r="I455" s="180"/>
      <c r="J455" s="180"/>
      <c r="K455" s="147"/>
      <c r="L455" s="147"/>
      <c r="M455" s="147"/>
      <c r="N455" s="147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153"/>
      <c r="F456" s="153"/>
      <c r="G456" s="153"/>
      <c r="H456" s="152"/>
      <c r="I456" s="180"/>
      <c r="J456" s="180"/>
      <c r="K456" s="147"/>
      <c r="L456" s="147"/>
      <c r="M456" s="147"/>
      <c r="N456" s="147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153"/>
      <c r="F457" s="153"/>
      <c r="G457" s="153"/>
      <c r="H457" s="152"/>
      <c r="I457" s="180"/>
      <c r="J457" s="180"/>
      <c r="K457" s="147"/>
      <c r="L457" s="147"/>
      <c r="M457" s="147"/>
      <c r="N457" s="147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153"/>
      <c r="F458" s="153"/>
      <c r="G458" s="153"/>
      <c r="H458" s="152"/>
      <c r="I458" s="180"/>
      <c r="J458" s="180"/>
      <c r="K458" s="147"/>
      <c r="L458" s="147"/>
      <c r="M458" s="147"/>
      <c r="N458" s="147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153"/>
      <c r="F459" s="153"/>
      <c r="G459" s="153"/>
      <c r="H459" s="152"/>
      <c r="I459" s="180"/>
      <c r="J459" s="180"/>
      <c r="K459" s="147"/>
      <c r="L459" s="147"/>
      <c r="M459" s="147"/>
      <c r="N459" s="147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153"/>
      <c r="F460" s="153"/>
      <c r="G460" s="153"/>
      <c r="H460" s="152"/>
      <c r="I460" s="180"/>
      <c r="J460" s="180"/>
      <c r="K460" s="147"/>
      <c r="L460" s="147"/>
      <c r="M460" s="147"/>
      <c r="N460" s="147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153"/>
      <c r="F461" s="153"/>
      <c r="G461" s="153"/>
      <c r="H461" s="152"/>
      <c r="I461" s="180"/>
      <c r="J461" s="180"/>
      <c r="K461" s="147"/>
      <c r="L461" s="147"/>
      <c r="M461" s="147"/>
      <c r="N461" s="147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153"/>
      <c r="F462" s="153"/>
      <c r="G462" s="153"/>
      <c r="H462" s="152"/>
      <c r="I462" s="180"/>
      <c r="J462" s="180"/>
      <c r="K462" s="147"/>
      <c r="L462" s="147"/>
      <c r="M462" s="147"/>
      <c r="N462" s="147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153"/>
      <c r="F463" s="153"/>
      <c r="G463" s="153"/>
      <c r="H463" s="152"/>
      <c r="I463" s="180"/>
      <c r="J463" s="180"/>
      <c r="K463" s="147"/>
      <c r="L463" s="147"/>
      <c r="M463" s="147"/>
      <c r="N463" s="147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153"/>
      <c r="F464" s="153"/>
      <c r="G464" s="153"/>
      <c r="H464" s="152"/>
      <c r="I464" s="180"/>
      <c r="J464" s="180"/>
      <c r="K464" s="147"/>
      <c r="L464" s="147"/>
      <c r="M464" s="147"/>
      <c r="N464" s="147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153"/>
      <c r="F465" s="153"/>
      <c r="G465" s="153"/>
      <c r="H465" s="152"/>
      <c r="I465" s="180"/>
      <c r="J465" s="180"/>
      <c r="K465" s="147"/>
      <c r="L465" s="147"/>
      <c r="M465" s="147"/>
      <c r="N465" s="147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153"/>
      <c r="F466" s="153"/>
      <c r="G466" s="153"/>
      <c r="H466" s="152"/>
      <c r="I466" s="180"/>
      <c r="J466" s="180"/>
      <c r="K466" s="147"/>
      <c r="L466" s="147"/>
      <c r="M466" s="147"/>
      <c r="N466" s="147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153"/>
      <c r="F467" s="153"/>
      <c r="G467" s="153"/>
      <c r="H467" s="152"/>
      <c r="I467" s="180"/>
      <c r="J467" s="180"/>
      <c r="K467" s="147"/>
      <c r="L467" s="147"/>
      <c r="M467" s="147"/>
      <c r="N467" s="147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153"/>
      <c r="F468" s="153"/>
      <c r="G468" s="153"/>
      <c r="H468" s="152"/>
      <c r="I468" s="180"/>
      <c r="J468" s="180"/>
      <c r="K468" s="147"/>
      <c r="L468" s="147"/>
      <c r="M468" s="147"/>
      <c r="N468" s="147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153"/>
      <c r="F469" s="153"/>
      <c r="G469" s="153"/>
      <c r="H469" s="152"/>
      <c r="I469" s="180"/>
      <c r="J469" s="180"/>
      <c r="K469" s="147"/>
      <c r="L469" s="147"/>
      <c r="M469" s="147"/>
      <c r="N469" s="147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153"/>
      <c r="F470" s="153"/>
      <c r="G470" s="153"/>
      <c r="H470" s="152"/>
      <c r="I470" s="180"/>
      <c r="J470" s="180"/>
      <c r="K470" s="147"/>
      <c r="L470" s="147"/>
      <c r="M470" s="147"/>
      <c r="N470" s="147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153"/>
      <c r="F471" s="153"/>
      <c r="G471" s="153"/>
      <c r="H471" s="152"/>
      <c r="I471" s="180"/>
      <c r="J471" s="180"/>
      <c r="K471" s="147"/>
      <c r="L471" s="147"/>
      <c r="M471" s="147"/>
      <c r="N471" s="147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153"/>
      <c r="F472" s="153"/>
      <c r="G472" s="153"/>
      <c r="H472" s="152"/>
      <c r="I472" s="180"/>
      <c r="J472" s="180"/>
      <c r="K472" s="147"/>
      <c r="L472" s="147"/>
      <c r="M472" s="147"/>
      <c r="N472" s="147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153"/>
      <c r="F473" s="153"/>
      <c r="G473" s="153"/>
      <c r="H473" s="152"/>
      <c r="I473" s="180"/>
      <c r="J473" s="180"/>
      <c r="K473" s="147"/>
      <c r="L473" s="147"/>
      <c r="M473" s="147"/>
      <c r="N473" s="147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153"/>
      <c r="F474" s="153"/>
      <c r="G474" s="153"/>
      <c r="H474" s="152"/>
      <c r="I474" s="180"/>
      <c r="J474" s="180"/>
      <c r="K474" s="147"/>
      <c r="L474" s="147"/>
      <c r="M474" s="147"/>
      <c r="N474" s="147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153"/>
      <c r="F475" s="153"/>
      <c r="G475" s="153"/>
      <c r="H475" s="152"/>
      <c r="I475" s="180"/>
      <c r="J475" s="180"/>
      <c r="K475" s="147"/>
      <c r="L475" s="147"/>
      <c r="M475" s="147"/>
      <c r="N475" s="147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153"/>
      <c r="F476" s="153"/>
      <c r="G476" s="153"/>
      <c r="H476" s="152"/>
      <c r="I476" s="180"/>
      <c r="J476" s="180"/>
      <c r="K476" s="147"/>
      <c r="L476" s="147"/>
      <c r="M476" s="147"/>
      <c r="N476" s="147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153"/>
      <c r="F477" s="153"/>
      <c r="G477" s="153"/>
      <c r="H477" s="152"/>
      <c r="I477" s="180"/>
      <c r="J477" s="180"/>
      <c r="K477" s="147"/>
      <c r="L477" s="147"/>
      <c r="M477" s="147"/>
      <c r="N477" s="147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153"/>
      <c r="F478" s="153"/>
      <c r="G478" s="153"/>
      <c r="H478" s="152"/>
      <c r="I478" s="180"/>
      <c r="J478" s="180"/>
      <c r="K478" s="147"/>
      <c r="L478" s="147"/>
      <c r="M478" s="147"/>
      <c r="N478" s="147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153"/>
      <c r="F479" s="153"/>
      <c r="G479" s="153"/>
      <c r="H479" s="152"/>
      <c r="I479" s="180"/>
      <c r="J479" s="180"/>
      <c r="K479" s="147"/>
      <c r="L479" s="147"/>
      <c r="M479" s="147"/>
      <c r="N479" s="147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153"/>
      <c r="F480" s="153"/>
      <c r="G480" s="153"/>
      <c r="H480" s="152"/>
      <c r="I480" s="180"/>
      <c r="J480" s="180"/>
      <c r="K480" s="147"/>
      <c r="L480" s="147"/>
      <c r="M480" s="147"/>
      <c r="N480" s="147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153"/>
      <c r="F481" s="153"/>
      <c r="G481" s="153"/>
      <c r="H481" s="152"/>
      <c r="I481" s="180"/>
      <c r="J481" s="180"/>
      <c r="K481" s="147"/>
      <c r="L481" s="147"/>
      <c r="M481" s="147"/>
      <c r="N481" s="147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153"/>
      <c r="F482" s="153"/>
      <c r="G482" s="153"/>
      <c r="H482" s="152"/>
      <c r="I482" s="180"/>
      <c r="J482" s="180"/>
      <c r="K482" s="147"/>
      <c r="L482" s="147"/>
      <c r="M482" s="147"/>
      <c r="N482" s="147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153"/>
      <c r="F483" s="153"/>
      <c r="G483" s="153"/>
      <c r="H483" s="152"/>
      <c r="I483" s="180"/>
      <c r="J483" s="180"/>
      <c r="K483" s="147"/>
      <c r="L483" s="147"/>
      <c r="M483" s="147"/>
      <c r="N483" s="147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153"/>
      <c r="F484" s="153"/>
      <c r="G484" s="153"/>
      <c r="H484" s="152"/>
      <c r="I484" s="180"/>
      <c r="J484" s="180"/>
      <c r="K484" s="147"/>
      <c r="L484" s="147"/>
      <c r="M484" s="147"/>
      <c r="N484" s="147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153"/>
      <c r="F485" s="153"/>
      <c r="G485" s="153"/>
      <c r="H485" s="152"/>
      <c r="I485" s="180"/>
      <c r="J485" s="180"/>
      <c r="K485" s="147"/>
      <c r="L485" s="147"/>
      <c r="M485" s="147"/>
      <c r="N485" s="147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153"/>
      <c r="F486" s="153"/>
      <c r="G486" s="153"/>
      <c r="H486" s="152"/>
      <c r="I486" s="180"/>
      <c r="J486" s="180"/>
      <c r="K486" s="147"/>
      <c r="L486" s="147"/>
      <c r="M486" s="147"/>
      <c r="N486" s="147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153"/>
      <c r="F487" s="153"/>
      <c r="G487" s="153"/>
      <c r="H487" s="152"/>
      <c r="I487" s="180"/>
      <c r="J487" s="180"/>
      <c r="K487" s="147"/>
      <c r="L487" s="147"/>
      <c r="M487" s="147"/>
      <c r="N487" s="147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153"/>
      <c r="F488" s="153"/>
      <c r="G488" s="153"/>
      <c r="H488" s="152"/>
      <c r="I488" s="180"/>
      <c r="J488" s="180"/>
      <c r="K488" s="147"/>
      <c r="L488" s="147"/>
      <c r="M488" s="147"/>
      <c r="N488" s="147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153"/>
      <c r="F489" s="153"/>
      <c r="G489" s="153"/>
      <c r="H489" s="152"/>
      <c r="I489" s="180"/>
      <c r="J489" s="180"/>
      <c r="K489" s="147"/>
      <c r="L489" s="147"/>
      <c r="M489" s="147"/>
      <c r="N489" s="147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153"/>
      <c r="F490" s="153"/>
      <c r="G490" s="153"/>
      <c r="H490" s="152"/>
      <c r="I490" s="180"/>
      <c r="J490" s="180"/>
      <c r="K490" s="147"/>
      <c r="L490" s="147"/>
      <c r="M490" s="147"/>
      <c r="N490" s="147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153"/>
      <c r="F491" s="153"/>
      <c r="G491" s="153"/>
      <c r="H491" s="152"/>
      <c r="I491" s="180"/>
      <c r="J491" s="180"/>
      <c r="K491" s="147"/>
      <c r="L491" s="147"/>
      <c r="M491" s="147"/>
      <c r="N491" s="147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153"/>
      <c r="F492" s="153"/>
      <c r="G492" s="153"/>
      <c r="H492" s="152"/>
      <c r="I492" s="180"/>
      <c r="J492" s="180"/>
      <c r="K492" s="147"/>
      <c r="L492" s="147"/>
      <c r="M492" s="147"/>
      <c r="N492" s="147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153"/>
      <c r="F493" s="153"/>
      <c r="G493" s="153"/>
      <c r="H493" s="152"/>
      <c r="I493" s="180"/>
      <c r="J493" s="180"/>
      <c r="K493" s="147"/>
      <c r="L493" s="147"/>
      <c r="M493" s="147"/>
      <c r="N493" s="147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153"/>
      <c r="F494" s="153"/>
      <c r="G494" s="153"/>
      <c r="H494" s="152"/>
      <c r="I494" s="180"/>
      <c r="J494" s="180"/>
      <c r="K494" s="147"/>
      <c r="L494" s="147"/>
      <c r="M494" s="147"/>
      <c r="N494" s="147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153"/>
      <c r="F495" s="153"/>
      <c r="G495" s="153"/>
      <c r="H495" s="152"/>
      <c r="I495" s="180"/>
      <c r="J495" s="180"/>
      <c r="K495" s="147"/>
      <c r="L495" s="147"/>
      <c r="M495" s="147"/>
      <c r="N495" s="147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153"/>
      <c r="F496" s="153"/>
      <c r="G496" s="153"/>
      <c r="H496" s="152"/>
      <c r="I496" s="180"/>
      <c r="J496" s="180"/>
      <c r="K496" s="147"/>
      <c r="L496" s="147"/>
      <c r="M496" s="147"/>
      <c r="N496" s="147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153"/>
      <c r="F497" s="153"/>
      <c r="G497" s="153"/>
      <c r="H497" s="152"/>
      <c r="I497" s="180"/>
      <c r="J497" s="180"/>
      <c r="K497" s="147"/>
      <c r="L497" s="147"/>
      <c r="M497" s="147"/>
      <c r="N497" s="147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153"/>
      <c r="F498" s="153"/>
      <c r="G498" s="153"/>
      <c r="H498" s="152"/>
      <c r="I498" s="180"/>
      <c r="J498" s="180"/>
      <c r="K498" s="147"/>
      <c r="L498" s="147"/>
      <c r="M498" s="147"/>
      <c r="N498" s="147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153"/>
      <c r="F499" s="153"/>
      <c r="G499" s="153"/>
      <c r="H499" s="152"/>
      <c r="I499" s="180"/>
      <c r="J499" s="180"/>
      <c r="K499" s="147"/>
      <c r="L499" s="147"/>
      <c r="M499" s="147"/>
      <c r="N499" s="147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153"/>
      <c r="F500" s="153"/>
      <c r="G500" s="153"/>
      <c r="H500" s="152"/>
      <c r="I500" s="180"/>
      <c r="J500" s="180"/>
      <c r="K500" s="147"/>
      <c r="L500" s="147"/>
      <c r="M500" s="147"/>
      <c r="N500" s="147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153"/>
      <c r="F501" s="153"/>
      <c r="G501" s="153"/>
      <c r="H501" s="152"/>
      <c r="I501" s="180"/>
      <c r="J501" s="180"/>
      <c r="K501" s="147"/>
      <c r="L501" s="147"/>
      <c r="M501" s="147"/>
      <c r="N501" s="147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153"/>
      <c r="F502" s="153"/>
      <c r="G502" s="153"/>
      <c r="H502" s="152"/>
      <c r="I502" s="180"/>
      <c r="J502" s="180"/>
      <c r="K502" s="147"/>
      <c r="L502" s="147"/>
      <c r="M502" s="147"/>
      <c r="N502" s="147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153"/>
      <c r="F503" s="153"/>
      <c r="G503" s="153"/>
      <c r="H503" s="152"/>
      <c r="I503" s="180"/>
      <c r="J503" s="180"/>
      <c r="K503" s="147"/>
      <c r="L503" s="147"/>
      <c r="M503" s="147"/>
      <c r="N503" s="147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153"/>
      <c r="F504" s="153"/>
      <c r="G504" s="153"/>
      <c r="H504" s="152"/>
      <c r="I504" s="180"/>
      <c r="J504" s="180"/>
      <c r="K504" s="147"/>
      <c r="L504" s="147"/>
      <c r="M504" s="147"/>
      <c r="N504" s="147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153"/>
      <c r="F505" s="153"/>
      <c r="G505" s="153"/>
      <c r="H505" s="152"/>
      <c r="I505" s="180"/>
      <c r="J505" s="180"/>
      <c r="K505" s="147"/>
      <c r="L505" s="147"/>
      <c r="M505" s="147"/>
      <c r="N505" s="147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153"/>
      <c r="F506" s="153"/>
      <c r="G506" s="153"/>
      <c r="H506" s="152"/>
      <c r="I506" s="180"/>
      <c r="J506" s="180"/>
      <c r="K506" s="147"/>
      <c r="L506" s="147"/>
      <c r="M506" s="147"/>
      <c r="N506" s="147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153"/>
      <c r="F507" s="153"/>
      <c r="G507" s="153"/>
      <c r="H507" s="152"/>
      <c r="I507" s="180"/>
      <c r="J507" s="180"/>
      <c r="K507" s="147"/>
      <c r="L507" s="147"/>
      <c r="M507" s="147"/>
      <c r="N507" s="147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153"/>
      <c r="F508" s="153"/>
      <c r="G508" s="153"/>
      <c r="H508" s="152"/>
      <c r="I508" s="180"/>
      <c r="J508" s="180"/>
      <c r="K508" s="147"/>
      <c r="L508" s="147"/>
      <c r="M508" s="147"/>
      <c r="N508" s="147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153"/>
      <c r="F509" s="153"/>
      <c r="G509" s="153"/>
      <c r="H509" s="152"/>
      <c r="I509" s="180"/>
      <c r="J509" s="180"/>
      <c r="K509" s="147"/>
      <c r="L509" s="147"/>
      <c r="M509" s="147"/>
      <c r="N509" s="147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153"/>
      <c r="F510" s="153"/>
      <c r="G510" s="153"/>
      <c r="H510" s="152"/>
      <c r="I510" s="180"/>
      <c r="J510" s="180"/>
      <c r="K510" s="147"/>
      <c r="L510" s="147"/>
      <c r="M510" s="147"/>
      <c r="N510" s="147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153"/>
      <c r="F511" s="153"/>
      <c r="G511" s="153"/>
      <c r="H511" s="152"/>
      <c r="I511" s="180"/>
      <c r="J511" s="180"/>
      <c r="K511" s="147"/>
      <c r="L511" s="147"/>
      <c r="M511" s="147"/>
      <c r="N511" s="147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153"/>
      <c r="F512" s="153"/>
      <c r="G512" s="153"/>
      <c r="H512" s="152"/>
      <c r="I512" s="180"/>
      <c r="J512" s="180"/>
      <c r="K512" s="147"/>
      <c r="L512" s="147"/>
      <c r="M512" s="147"/>
      <c r="N512" s="147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153"/>
      <c r="F513" s="153"/>
      <c r="G513" s="153"/>
      <c r="H513" s="152"/>
      <c r="I513" s="180"/>
      <c r="J513" s="180"/>
      <c r="K513" s="147"/>
      <c r="L513" s="147"/>
      <c r="M513" s="147"/>
      <c r="N513" s="147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153"/>
      <c r="F514" s="153"/>
      <c r="G514" s="153"/>
      <c r="H514" s="152"/>
      <c r="I514" s="180"/>
      <c r="J514" s="180"/>
      <c r="K514" s="147"/>
      <c r="L514" s="147"/>
      <c r="M514" s="147"/>
      <c r="N514" s="147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153"/>
      <c r="F515" s="153"/>
      <c r="G515" s="153"/>
      <c r="H515" s="152"/>
      <c r="I515" s="180"/>
      <c r="J515" s="180"/>
      <c r="K515" s="147"/>
      <c r="L515" s="147"/>
      <c r="M515" s="147"/>
      <c r="N515" s="147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153"/>
      <c r="F516" s="153"/>
      <c r="G516" s="153"/>
      <c r="H516" s="152"/>
      <c r="I516" s="180"/>
      <c r="J516" s="180"/>
      <c r="K516" s="147"/>
      <c r="L516" s="147"/>
      <c r="M516" s="147"/>
      <c r="N516" s="147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153"/>
      <c r="F517" s="153"/>
      <c r="G517" s="153"/>
      <c r="H517" s="152"/>
      <c r="I517" s="180"/>
      <c r="J517" s="180"/>
      <c r="K517" s="147"/>
      <c r="L517" s="147"/>
      <c r="M517" s="147"/>
      <c r="N517" s="147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153"/>
      <c r="F518" s="153"/>
      <c r="G518" s="153"/>
      <c r="H518" s="152"/>
      <c r="I518" s="180"/>
      <c r="J518" s="180"/>
      <c r="K518" s="147"/>
      <c r="L518" s="147"/>
      <c r="M518" s="147"/>
      <c r="N518" s="147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153"/>
      <c r="F519" s="153"/>
      <c r="G519" s="153"/>
      <c r="H519" s="152"/>
      <c r="I519" s="180"/>
      <c r="J519" s="180"/>
      <c r="K519" s="147"/>
      <c r="L519" s="147"/>
      <c r="M519" s="147"/>
      <c r="N519" s="147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153"/>
      <c r="F520" s="153"/>
      <c r="G520" s="153"/>
      <c r="H520" s="152"/>
      <c r="I520" s="180"/>
      <c r="J520" s="180"/>
      <c r="K520" s="147"/>
      <c r="L520" s="147"/>
      <c r="M520" s="147"/>
      <c r="N520" s="147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153"/>
      <c r="F521" s="153"/>
      <c r="G521" s="153"/>
      <c r="H521" s="152"/>
      <c r="I521" s="180"/>
      <c r="J521" s="180"/>
      <c r="K521" s="147"/>
      <c r="L521" s="147"/>
      <c r="M521" s="147"/>
      <c r="N521" s="147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153"/>
      <c r="F522" s="153"/>
      <c r="G522" s="153"/>
      <c r="H522" s="152"/>
      <c r="I522" s="180"/>
      <c r="J522" s="180"/>
      <c r="K522" s="147"/>
      <c r="L522" s="147"/>
      <c r="M522" s="147"/>
      <c r="N522" s="147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153"/>
      <c r="F523" s="153"/>
      <c r="G523" s="153"/>
      <c r="H523" s="152"/>
      <c r="I523" s="180"/>
      <c r="J523" s="180"/>
      <c r="K523" s="147"/>
      <c r="L523" s="147"/>
      <c r="M523" s="147"/>
      <c r="N523" s="147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153"/>
      <c r="F524" s="153"/>
      <c r="G524" s="153"/>
      <c r="H524" s="152"/>
      <c r="I524" s="180"/>
      <c r="J524" s="180"/>
      <c r="K524" s="147"/>
      <c r="L524" s="147"/>
      <c r="M524" s="147"/>
      <c r="N524" s="147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153"/>
      <c r="F525" s="153"/>
      <c r="G525" s="153"/>
      <c r="H525" s="152"/>
      <c r="I525" s="180"/>
      <c r="J525" s="180"/>
      <c r="K525" s="147"/>
      <c r="L525" s="147"/>
      <c r="M525" s="147"/>
      <c r="N525" s="147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153"/>
      <c r="F526" s="153"/>
      <c r="G526" s="153"/>
      <c r="H526" s="152"/>
      <c r="I526" s="180"/>
      <c r="J526" s="180"/>
      <c r="K526" s="147"/>
      <c r="L526" s="147"/>
      <c r="M526" s="147"/>
      <c r="N526" s="147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153"/>
      <c r="F527" s="153"/>
      <c r="G527" s="153"/>
      <c r="H527" s="152"/>
      <c r="I527" s="180"/>
      <c r="J527" s="180"/>
      <c r="K527" s="147"/>
      <c r="L527" s="147"/>
      <c r="M527" s="147"/>
      <c r="N527" s="147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153"/>
      <c r="F528" s="153"/>
      <c r="G528" s="153"/>
      <c r="H528" s="152"/>
      <c r="I528" s="180"/>
      <c r="J528" s="180"/>
      <c r="K528" s="147"/>
      <c r="L528" s="147"/>
      <c r="M528" s="147"/>
      <c r="N528" s="147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153"/>
      <c r="F529" s="153"/>
      <c r="G529" s="153"/>
      <c r="H529" s="152"/>
      <c r="I529" s="180"/>
      <c r="J529" s="180"/>
      <c r="K529" s="147"/>
      <c r="L529" s="147"/>
      <c r="M529" s="147"/>
      <c r="N529" s="147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153"/>
      <c r="F530" s="153"/>
      <c r="G530" s="153"/>
      <c r="H530" s="152"/>
      <c r="I530" s="180"/>
      <c r="J530" s="180"/>
      <c r="K530" s="147"/>
      <c r="L530" s="147"/>
      <c r="M530" s="147"/>
      <c r="N530" s="147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153"/>
      <c r="F531" s="153"/>
      <c r="G531" s="153"/>
      <c r="H531" s="152"/>
      <c r="I531" s="180"/>
      <c r="J531" s="180"/>
      <c r="K531" s="147"/>
      <c r="L531" s="147"/>
      <c r="M531" s="147"/>
      <c r="N531" s="147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153"/>
      <c r="F532" s="153"/>
      <c r="G532" s="153"/>
      <c r="H532" s="152"/>
      <c r="I532" s="180"/>
      <c r="J532" s="180"/>
      <c r="K532" s="147"/>
      <c r="L532" s="147"/>
      <c r="M532" s="147"/>
      <c r="N532" s="147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153"/>
      <c r="F533" s="153"/>
      <c r="G533" s="153"/>
      <c r="H533" s="152"/>
      <c r="I533" s="180"/>
      <c r="J533" s="180"/>
      <c r="K533" s="147"/>
      <c r="L533" s="147"/>
      <c r="M533" s="147"/>
      <c r="N533" s="147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153"/>
      <c r="F534" s="153"/>
      <c r="G534" s="153"/>
      <c r="H534" s="152"/>
      <c r="I534" s="180"/>
      <c r="J534" s="180"/>
      <c r="K534" s="147"/>
      <c r="L534" s="147"/>
      <c r="M534" s="147"/>
      <c r="N534" s="147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153"/>
      <c r="F535" s="153"/>
      <c r="G535" s="153"/>
      <c r="H535" s="152"/>
      <c r="I535" s="180"/>
      <c r="J535" s="180"/>
      <c r="K535" s="147"/>
      <c r="L535" s="147"/>
      <c r="M535" s="147"/>
      <c r="N535" s="147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153"/>
      <c r="F536" s="153"/>
      <c r="G536" s="153"/>
      <c r="H536" s="152"/>
      <c r="I536" s="180"/>
      <c r="J536" s="180"/>
      <c r="K536" s="147"/>
      <c r="L536" s="147"/>
      <c r="M536" s="147"/>
      <c r="N536" s="147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153"/>
      <c r="F537" s="153"/>
      <c r="G537" s="153"/>
      <c r="H537" s="152"/>
      <c r="I537" s="180"/>
      <c r="J537" s="180"/>
      <c r="K537" s="147"/>
      <c r="L537" s="147"/>
      <c r="M537" s="147"/>
      <c r="N537" s="147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153"/>
      <c r="F538" s="153"/>
      <c r="G538" s="153"/>
      <c r="H538" s="152"/>
      <c r="I538" s="180"/>
      <c r="J538" s="180"/>
      <c r="K538" s="147"/>
      <c r="L538" s="147"/>
      <c r="M538" s="147"/>
      <c r="N538" s="147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153"/>
      <c r="F539" s="153"/>
      <c r="G539" s="153"/>
      <c r="H539" s="152"/>
      <c r="I539" s="180"/>
      <c r="J539" s="180"/>
      <c r="K539" s="147"/>
      <c r="L539" s="147"/>
      <c r="M539" s="147"/>
      <c r="N539" s="147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153"/>
      <c r="F540" s="153"/>
      <c r="G540" s="153"/>
      <c r="H540" s="152"/>
      <c r="I540" s="180"/>
      <c r="J540" s="180"/>
      <c r="K540" s="147"/>
      <c r="L540" s="147"/>
      <c r="M540" s="147"/>
      <c r="N540" s="147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153"/>
      <c r="F541" s="153"/>
      <c r="G541" s="153"/>
      <c r="H541" s="152"/>
      <c r="I541" s="180"/>
      <c r="J541" s="180"/>
      <c r="K541" s="147"/>
      <c r="L541" s="147"/>
      <c r="M541" s="147"/>
      <c r="N541" s="147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153"/>
      <c r="F542" s="153"/>
      <c r="G542" s="153"/>
      <c r="H542" s="152"/>
      <c r="I542" s="180"/>
      <c r="J542" s="180"/>
      <c r="K542" s="147"/>
      <c r="L542" s="147"/>
      <c r="M542" s="147"/>
      <c r="N542" s="147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153"/>
      <c r="F543" s="153"/>
      <c r="G543" s="153"/>
      <c r="H543" s="152"/>
      <c r="I543" s="180"/>
      <c r="J543" s="180"/>
      <c r="K543" s="147"/>
      <c r="L543" s="147"/>
      <c r="M543" s="147"/>
      <c r="N543" s="147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153"/>
      <c r="F544" s="153"/>
      <c r="G544" s="153"/>
      <c r="H544" s="152"/>
      <c r="I544" s="180"/>
      <c r="J544" s="180"/>
      <c r="K544" s="147"/>
      <c r="L544" s="147"/>
      <c r="M544" s="147"/>
      <c r="N544" s="147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153"/>
      <c r="F545" s="153"/>
      <c r="G545" s="153"/>
      <c r="H545" s="152"/>
      <c r="I545" s="180"/>
      <c r="J545" s="180"/>
      <c r="K545" s="147"/>
      <c r="L545" s="147"/>
      <c r="M545" s="147"/>
      <c r="N545" s="147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153"/>
      <c r="F546" s="153"/>
      <c r="G546" s="153"/>
      <c r="H546" s="152"/>
      <c r="I546" s="180"/>
      <c r="J546" s="180"/>
      <c r="K546" s="147"/>
      <c r="L546" s="147"/>
      <c r="M546" s="147"/>
      <c r="N546" s="147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153"/>
      <c r="F547" s="153"/>
      <c r="G547" s="153"/>
      <c r="H547" s="152"/>
      <c r="I547" s="180"/>
      <c r="J547" s="180"/>
      <c r="K547" s="147"/>
      <c r="L547" s="147"/>
      <c r="M547" s="147"/>
      <c r="N547" s="147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153"/>
      <c r="F548" s="153"/>
      <c r="G548" s="153"/>
      <c r="H548" s="152"/>
      <c r="I548" s="180"/>
      <c r="J548" s="180"/>
      <c r="K548" s="147"/>
      <c r="L548" s="147"/>
      <c r="M548" s="147"/>
      <c r="N548" s="147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153"/>
      <c r="F549" s="153"/>
      <c r="G549" s="153"/>
      <c r="H549" s="152"/>
      <c r="I549" s="180"/>
      <c r="J549" s="180"/>
      <c r="K549" s="147"/>
      <c r="L549" s="147"/>
      <c r="M549" s="147"/>
      <c r="N549" s="147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153"/>
      <c r="F550" s="153"/>
      <c r="G550" s="153"/>
      <c r="H550" s="152"/>
      <c r="I550" s="180"/>
      <c r="J550" s="180"/>
      <c r="K550" s="147"/>
      <c r="L550" s="147"/>
      <c r="M550" s="147"/>
      <c r="N550" s="147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153"/>
      <c r="F551" s="153"/>
      <c r="G551" s="153"/>
      <c r="H551" s="152"/>
      <c r="I551" s="180"/>
      <c r="J551" s="180"/>
      <c r="K551" s="147"/>
      <c r="L551" s="147"/>
      <c r="M551" s="147"/>
      <c r="N551" s="147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153"/>
      <c r="F552" s="153"/>
      <c r="G552" s="153"/>
      <c r="H552" s="152"/>
      <c r="I552" s="180"/>
      <c r="J552" s="180"/>
      <c r="K552" s="147"/>
      <c r="L552" s="147"/>
      <c r="M552" s="147"/>
      <c r="N552" s="147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153"/>
      <c r="F553" s="153"/>
      <c r="G553" s="153"/>
      <c r="H553" s="152"/>
      <c r="I553" s="180"/>
      <c r="J553" s="180"/>
      <c r="K553" s="147"/>
      <c r="L553" s="147"/>
      <c r="M553" s="147"/>
      <c r="N553" s="147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153"/>
      <c r="F554" s="153"/>
      <c r="G554" s="153"/>
      <c r="H554" s="152"/>
      <c r="I554" s="180"/>
      <c r="J554" s="180"/>
      <c r="K554" s="147"/>
      <c r="L554" s="147"/>
      <c r="M554" s="147"/>
      <c r="N554" s="147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153"/>
      <c r="F555" s="153"/>
      <c r="G555" s="153"/>
      <c r="H555" s="152"/>
      <c r="I555" s="180"/>
      <c r="J555" s="180"/>
      <c r="K555" s="147"/>
      <c r="L555" s="147"/>
      <c r="M555" s="147"/>
      <c r="N555" s="147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153"/>
      <c r="F556" s="153"/>
      <c r="G556" s="153"/>
      <c r="H556" s="152"/>
      <c r="I556" s="180"/>
      <c r="J556" s="180"/>
      <c r="K556" s="147"/>
      <c r="L556" s="147"/>
      <c r="M556" s="147"/>
      <c r="N556" s="147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153"/>
      <c r="F557" s="153"/>
      <c r="G557" s="153"/>
      <c r="H557" s="152"/>
      <c r="I557" s="180"/>
      <c r="J557" s="180"/>
      <c r="K557" s="147"/>
      <c r="L557" s="147"/>
      <c r="M557" s="147"/>
      <c r="N557" s="147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153"/>
      <c r="F558" s="153"/>
      <c r="G558" s="153"/>
      <c r="H558" s="152"/>
      <c r="I558" s="180"/>
      <c r="J558" s="180"/>
      <c r="K558" s="147"/>
      <c r="L558" s="147"/>
      <c r="M558" s="147"/>
      <c r="N558" s="147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153"/>
      <c r="F559" s="153"/>
      <c r="G559" s="153"/>
      <c r="H559" s="152"/>
      <c r="I559" s="180"/>
      <c r="J559" s="180"/>
      <c r="K559" s="147"/>
      <c r="L559" s="147"/>
      <c r="M559" s="147"/>
      <c r="N559" s="147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153"/>
      <c r="F560" s="153"/>
      <c r="G560" s="153"/>
      <c r="H560" s="152"/>
      <c r="I560" s="180"/>
      <c r="J560" s="180"/>
      <c r="K560" s="147"/>
      <c r="L560" s="147"/>
      <c r="M560" s="147"/>
      <c r="N560" s="147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153"/>
      <c r="F561" s="153"/>
      <c r="G561" s="153"/>
      <c r="H561" s="152"/>
      <c r="I561" s="180"/>
      <c r="J561" s="180"/>
      <c r="K561" s="147"/>
      <c r="L561" s="147"/>
      <c r="M561" s="147"/>
      <c r="N561" s="147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153"/>
      <c r="F562" s="153"/>
      <c r="G562" s="153"/>
      <c r="H562" s="152"/>
      <c r="I562" s="180"/>
      <c r="J562" s="180"/>
      <c r="K562" s="147"/>
      <c r="L562" s="147"/>
      <c r="M562" s="147"/>
      <c r="N562" s="147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153"/>
      <c r="F563" s="153"/>
      <c r="G563" s="153"/>
      <c r="H563" s="152"/>
      <c r="I563" s="180"/>
      <c r="J563" s="180"/>
      <c r="K563" s="147"/>
      <c r="L563" s="147"/>
      <c r="M563" s="147"/>
      <c r="N563" s="147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153"/>
      <c r="F564" s="153"/>
      <c r="G564" s="153"/>
      <c r="H564" s="152"/>
      <c r="I564" s="180"/>
      <c r="J564" s="180"/>
      <c r="K564" s="147"/>
      <c r="L564" s="147"/>
      <c r="M564" s="147"/>
      <c r="N564" s="147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153"/>
      <c r="F565" s="153"/>
      <c r="G565" s="153"/>
      <c r="H565" s="152"/>
      <c r="I565" s="180"/>
      <c r="J565" s="180"/>
      <c r="K565" s="147"/>
      <c r="L565" s="147"/>
      <c r="M565" s="147"/>
      <c r="N565" s="147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153"/>
      <c r="F566" s="153"/>
      <c r="G566" s="153"/>
      <c r="H566" s="152"/>
      <c r="I566" s="180"/>
      <c r="J566" s="180"/>
      <c r="K566" s="147"/>
      <c r="L566" s="147"/>
      <c r="M566" s="147"/>
      <c r="N566" s="147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153"/>
      <c r="F567" s="153"/>
      <c r="G567" s="153"/>
      <c r="H567" s="152"/>
      <c r="I567" s="180"/>
      <c r="J567" s="180"/>
      <c r="K567" s="147"/>
      <c r="L567" s="147"/>
      <c r="M567" s="147"/>
      <c r="N567" s="147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153"/>
      <c r="F568" s="153"/>
      <c r="G568" s="153"/>
      <c r="H568" s="152"/>
      <c r="I568" s="180"/>
      <c r="J568" s="180"/>
      <c r="K568" s="147"/>
      <c r="L568" s="147"/>
      <c r="M568" s="147"/>
      <c r="N568" s="147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153"/>
      <c r="F569" s="153"/>
      <c r="G569" s="153"/>
      <c r="H569" s="152"/>
      <c r="I569" s="180"/>
      <c r="J569" s="180"/>
      <c r="K569" s="147"/>
      <c r="L569" s="147"/>
      <c r="M569" s="147"/>
      <c r="N569" s="147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153"/>
      <c r="F570" s="153"/>
      <c r="G570" s="153"/>
      <c r="H570" s="152"/>
      <c r="I570" s="180"/>
      <c r="J570" s="180"/>
      <c r="K570" s="147"/>
      <c r="L570" s="147"/>
      <c r="M570" s="147"/>
      <c r="N570" s="147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153"/>
      <c r="F571" s="153"/>
      <c r="G571" s="153"/>
      <c r="H571" s="152"/>
      <c r="I571" s="180"/>
      <c r="J571" s="180"/>
      <c r="K571" s="147"/>
      <c r="L571" s="147"/>
      <c r="M571" s="147"/>
      <c r="N571" s="147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153"/>
      <c r="F572" s="153"/>
      <c r="G572" s="153"/>
      <c r="H572" s="152"/>
      <c r="I572" s="180"/>
      <c r="J572" s="180"/>
      <c r="K572" s="147"/>
      <c r="L572" s="147"/>
      <c r="M572" s="147"/>
      <c r="N572" s="147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153"/>
      <c r="F573" s="153"/>
      <c r="G573" s="153"/>
      <c r="H573" s="152"/>
      <c r="I573" s="180"/>
      <c r="J573" s="180"/>
      <c r="K573" s="147"/>
      <c r="L573" s="147"/>
      <c r="M573" s="147"/>
      <c r="N573" s="147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153"/>
      <c r="F574" s="153"/>
      <c r="G574" s="153"/>
      <c r="H574" s="152"/>
      <c r="I574" s="180"/>
      <c r="J574" s="180"/>
      <c r="K574" s="147"/>
      <c r="L574" s="147"/>
      <c r="M574" s="147"/>
      <c r="N574" s="147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153"/>
      <c r="F575" s="153"/>
      <c r="G575" s="153"/>
      <c r="H575" s="152"/>
      <c r="I575" s="180"/>
      <c r="J575" s="180"/>
      <c r="K575" s="147"/>
      <c r="L575" s="147"/>
      <c r="M575" s="147"/>
      <c r="N575" s="147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153"/>
      <c r="F576" s="153"/>
      <c r="G576" s="153"/>
      <c r="H576" s="152"/>
      <c r="I576" s="180"/>
      <c r="J576" s="180"/>
      <c r="K576" s="147"/>
      <c r="L576" s="147"/>
      <c r="M576" s="147"/>
      <c r="N576" s="147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153"/>
      <c r="F577" s="153"/>
      <c r="G577" s="153"/>
      <c r="H577" s="152"/>
      <c r="I577" s="180"/>
      <c r="J577" s="180"/>
      <c r="K577" s="147"/>
      <c r="L577" s="147"/>
      <c r="M577" s="147"/>
      <c r="N577" s="147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153"/>
      <c r="F578" s="153"/>
      <c r="G578" s="153"/>
      <c r="H578" s="152"/>
      <c r="I578" s="180"/>
      <c r="J578" s="180"/>
      <c r="K578" s="147"/>
      <c r="L578" s="147"/>
      <c r="M578" s="147"/>
      <c r="N578" s="147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153"/>
      <c r="F579" s="153"/>
      <c r="G579" s="153"/>
      <c r="H579" s="152"/>
      <c r="I579" s="180"/>
      <c r="J579" s="180"/>
      <c r="K579" s="147"/>
      <c r="L579" s="147"/>
      <c r="M579" s="147"/>
      <c r="N579" s="147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153"/>
      <c r="F580" s="153"/>
      <c r="G580" s="153"/>
      <c r="H580" s="152"/>
      <c r="I580" s="180"/>
      <c r="J580" s="180"/>
      <c r="K580" s="147"/>
      <c r="L580" s="147"/>
      <c r="M580" s="147"/>
      <c r="N580" s="147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153"/>
      <c r="F581" s="153"/>
      <c r="G581" s="153"/>
      <c r="H581" s="152"/>
      <c r="I581" s="180"/>
      <c r="J581" s="180"/>
      <c r="K581" s="147"/>
      <c r="L581" s="147"/>
      <c r="M581" s="147"/>
      <c r="N581" s="147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153"/>
      <c r="F582" s="153"/>
      <c r="G582" s="153"/>
      <c r="H582" s="152"/>
      <c r="I582" s="180"/>
      <c r="J582" s="180"/>
      <c r="K582" s="147"/>
      <c r="L582" s="147"/>
      <c r="M582" s="147"/>
      <c r="N582" s="147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153"/>
      <c r="F583" s="153"/>
      <c r="G583" s="153"/>
      <c r="H583" s="152"/>
      <c r="I583" s="180"/>
      <c r="J583" s="180"/>
      <c r="K583" s="147"/>
      <c r="L583" s="147"/>
      <c r="M583" s="147"/>
      <c r="N583" s="147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153"/>
      <c r="F584" s="153"/>
      <c r="G584" s="153"/>
      <c r="H584" s="152"/>
      <c r="I584" s="180"/>
      <c r="J584" s="180"/>
      <c r="K584" s="147"/>
      <c r="L584" s="147"/>
      <c r="M584" s="147"/>
      <c r="N584" s="147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153"/>
      <c r="F585" s="153"/>
      <c r="G585" s="153"/>
      <c r="H585" s="152"/>
      <c r="I585" s="180"/>
      <c r="J585" s="180"/>
      <c r="K585" s="147"/>
      <c r="L585" s="147"/>
      <c r="M585" s="147"/>
      <c r="N585" s="147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153"/>
      <c r="F586" s="153"/>
      <c r="G586" s="153"/>
      <c r="H586" s="152"/>
      <c r="I586" s="180"/>
      <c r="J586" s="180"/>
      <c r="K586" s="147"/>
      <c r="L586" s="147"/>
      <c r="M586" s="147"/>
      <c r="N586" s="147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153"/>
      <c r="F587" s="153"/>
      <c r="G587" s="153"/>
      <c r="H587" s="152"/>
      <c r="I587" s="180"/>
      <c r="J587" s="180"/>
      <c r="K587" s="147"/>
      <c r="L587" s="147"/>
      <c r="M587" s="147"/>
      <c r="N587" s="147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153"/>
      <c r="F588" s="153"/>
      <c r="G588" s="153"/>
      <c r="H588" s="152"/>
      <c r="I588" s="180"/>
      <c r="J588" s="180"/>
      <c r="K588" s="147"/>
      <c r="L588" s="147"/>
      <c r="M588" s="147"/>
      <c r="N588" s="147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153"/>
      <c r="F589" s="153"/>
      <c r="G589" s="153"/>
      <c r="H589" s="152"/>
      <c r="I589" s="180"/>
      <c r="J589" s="180"/>
      <c r="K589" s="147"/>
      <c r="L589" s="147"/>
      <c r="M589" s="147"/>
      <c r="N589" s="147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153"/>
      <c r="F590" s="153"/>
      <c r="G590" s="153"/>
      <c r="H590" s="152"/>
      <c r="I590" s="180"/>
      <c r="J590" s="180"/>
      <c r="K590" s="147"/>
      <c r="L590" s="147"/>
      <c r="M590" s="147"/>
      <c r="N590" s="147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153"/>
      <c r="F591" s="153"/>
      <c r="G591" s="153"/>
      <c r="H591" s="152"/>
      <c r="I591" s="180"/>
      <c r="J591" s="180"/>
      <c r="K591" s="147"/>
      <c r="L591" s="147"/>
      <c r="M591" s="147"/>
      <c r="N591" s="147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153"/>
      <c r="F592" s="153"/>
      <c r="G592" s="153"/>
      <c r="H592" s="152"/>
      <c r="I592" s="180"/>
      <c r="J592" s="180"/>
      <c r="K592" s="147"/>
      <c r="L592" s="147"/>
      <c r="M592" s="147"/>
      <c r="N592" s="147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153"/>
      <c r="F593" s="153"/>
      <c r="G593" s="153"/>
      <c r="H593" s="152"/>
      <c r="I593" s="180"/>
      <c r="J593" s="180"/>
      <c r="K593" s="147"/>
      <c r="L593" s="147"/>
      <c r="M593" s="147"/>
      <c r="N593" s="147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153"/>
      <c r="F594" s="153"/>
      <c r="G594" s="153"/>
      <c r="H594" s="152"/>
      <c r="I594" s="180"/>
      <c r="J594" s="180"/>
      <c r="K594" s="147"/>
      <c r="L594" s="147"/>
      <c r="M594" s="147"/>
      <c r="N594" s="147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153"/>
      <c r="F595" s="153"/>
      <c r="G595" s="153"/>
      <c r="H595" s="152"/>
      <c r="I595" s="180"/>
      <c r="J595" s="180"/>
      <c r="K595" s="147"/>
      <c r="L595" s="147"/>
      <c r="M595" s="147"/>
      <c r="N595" s="147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153"/>
      <c r="F596" s="153"/>
      <c r="G596" s="153"/>
      <c r="H596" s="152"/>
      <c r="I596" s="180"/>
      <c r="J596" s="180"/>
      <c r="K596" s="147"/>
      <c r="L596" s="147"/>
      <c r="M596" s="147"/>
      <c r="N596" s="147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153"/>
      <c r="F597" s="153"/>
      <c r="G597" s="153"/>
      <c r="H597" s="152"/>
      <c r="I597" s="180"/>
      <c r="J597" s="180"/>
      <c r="K597" s="147"/>
      <c r="L597" s="147"/>
      <c r="M597" s="147"/>
      <c r="N597" s="147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153"/>
      <c r="F598" s="153"/>
      <c r="G598" s="153"/>
      <c r="H598" s="152"/>
      <c r="I598" s="180"/>
      <c r="J598" s="180"/>
      <c r="K598" s="147"/>
      <c r="L598" s="147"/>
      <c r="M598" s="147"/>
      <c r="N598" s="147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153"/>
      <c r="F599" s="153"/>
      <c r="G599" s="153"/>
      <c r="H599" s="152"/>
      <c r="I599" s="180"/>
      <c r="J599" s="180"/>
      <c r="K599" s="147"/>
      <c r="L599" s="147"/>
      <c r="M599" s="147"/>
      <c r="N599" s="147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153"/>
      <c r="F600" s="153"/>
      <c r="G600" s="153"/>
      <c r="H600" s="152"/>
      <c r="I600" s="180"/>
      <c r="J600" s="180"/>
      <c r="K600" s="147"/>
      <c r="L600" s="147"/>
      <c r="M600" s="147"/>
      <c r="N600" s="147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153"/>
      <c r="F601" s="153"/>
      <c r="G601" s="153"/>
      <c r="H601" s="152"/>
      <c r="I601" s="180"/>
      <c r="J601" s="180"/>
      <c r="K601" s="147"/>
      <c r="L601" s="147"/>
      <c r="M601" s="147"/>
      <c r="N601" s="147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153"/>
      <c r="F602" s="153"/>
      <c r="G602" s="153"/>
      <c r="H602" s="152"/>
      <c r="I602" s="180"/>
      <c r="J602" s="180"/>
      <c r="K602" s="147"/>
      <c r="L602" s="147"/>
      <c r="M602" s="147"/>
      <c r="N602" s="147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153"/>
      <c r="F603" s="153"/>
      <c r="G603" s="153"/>
      <c r="H603" s="152"/>
      <c r="I603" s="180"/>
      <c r="J603" s="180"/>
      <c r="K603" s="147"/>
      <c r="L603" s="147"/>
      <c r="M603" s="147"/>
      <c r="N603" s="147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153"/>
      <c r="F604" s="153"/>
      <c r="G604" s="153"/>
      <c r="H604" s="152"/>
      <c r="I604" s="180"/>
      <c r="J604" s="180"/>
      <c r="K604" s="147"/>
      <c r="L604" s="147"/>
      <c r="M604" s="147"/>
      <c r="N604" s="147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153"/>
      <c r="F605" s="153"/>
      <c r="G605" s="153"/>
      <c r="H605" s="152"/>
      <c r="I605" s="180"/>
      <c r="J605" s="180"/>
      <c r="K605" s="147"/>
      <c r="L605" s="147"/>
      <c r="M605" s="147"/>
      <c r="N605" s="147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153"/>
      <c r="F606" s="153"/>
      <c r="G606" s="153"/>
      <c r="H606" s="152"/>
      <c r="I606" s="180"/>
      <c r="J606" s="180"/>
      <c r="K606" s="147"/>
      <c r="L606" s="147"/>
      <c r="M606" s="147"/>
      <c r="N606" s="147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153"/>
      <c r="F607" s="153"/>
      <c r="G607" s="153"/>
      <c r="H607" s="152"/>
      <c r="I607" s="180"/>
      <c r="J607" s="180"/>
      <c r="K607" s="147"/>
      <c r="L607" s="147"/>
      <c r="M607" s="147"/>
      <c r="N607" s="147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153"/>
      <c r="F608" s="153"/>
      <c r="G608" s="153"/>
      <c r="H608" s="152"/>
      <c r="I608" s="180"/>
      <c r="J608" s="180"/>
      <c r="K608" s="147"/>
      <c r="L608" s="147"/>
      <c r="M608" s="147"/>
      <c r="N608" s="147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153"/>
      <c r="F609" s="153"/>
      <c r="G609" s="153"/>
      <c r="H609" s="152"/>
      <c r="I609" s="180"/>
      <c r="J609" s="180"/>
      <c r="K609" s="147"/>
      <c r="L609" s="147"/>
      <c r="M609" s="147"/>
      <c r="N609" s="147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153"/>
      <c r="F610" s="153"/>
      <c r="G610" s="153"/>
      <c r="H610" s="152"/>
      <c r="I610" s="180"/>
      <c r="J610" s="180"/>
      <c r="K610" s="147"/>
      <c r="L610" s="147"/>
      <c r="M610" s="147"/>
      <c r="N610" s="147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153"/>
      <c r="F611" s="153"/>
      <c r="G611" s="153"/>
      <c r="H611" s="152"/>
      <c r="I611" s="180"/>
      <c r="J611" s="180"/>
      <c r="K611" s="147"/>
      <c r="L611" s="147"/>
      <c r="M611" s="147"/>
      <c r="N611" s="147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153"/>
      <c r="F612" s="153"/>
      <c r="G612" s="153"/>
      <c r="H612" s="152"/>
      <c r="I612" s="180"/>
      <c r="J612" s="180"/>
      <c r="K612" s="147"/>
      <c r="L612" s="147"/>
      <c r="M612" s="147"/>
      <c r="N612" s="147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153"/>
      <c r="F613" s="153"/>
      <c r="G613" s="153"/>
      <c r="H613" s="152"/>
      <c r="I613" s="180"/>
      <c r="J613" s="180"/>
      <c r="K613" s="147"/>
      <c r="L613" s="147"/>
      <c r="M613" s="147"/>
      <c r="N613" s="147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153"/>
      <c r="F614" s="153"/>
      <c r="G614" s="153"/>
      <c r="H614" s="152"/>
      <c r="I614" s="180"/>
      <c r="J614" s="180"/>
      <c r="K614" s="147"/>
      <c r="L614" s="147"/>
      <c r="M614" s="147"/>
      <c r="N614" s="147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153"/>
      <c r="F615" s="153"/>
      <c r="G615" s="153"/>
      <c r="H615" s="152"/>
      <c r="I615" s="180"/>
      <c r="J615" s="180"/>
      <c r="K615" s="147"/>
      <c r="L615" s="147"/>
      <c r="M615" s="147"/>
      <c r="N615" s="147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153"/>
      <c r="F616" s="153"/>
      <c r="G616" s="153"/>
      <c r="H616" s="152"/>
      <c r="I616" s="180"/>
      <c r="J616" s="180"/>
      <c r="K616" s="147"/>
      <c r="L616" s="147"/>
      <c r="M616" s="147"/>
      <c r="N616" s="147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153"/>
      <c r="F617" s="153"/>
      <c r="G617" s="153"/>
      <c r="H617" s="152"/>
      <c r="I617" s="180"/>
      <c r="J617" s="180"/>
      <c r="K617" s="147"/>
      <c r="L617" s="147"/>
      <c r="M617" s="147"/>
      <c r="N617" s="147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153"/>
      <c r="F618" s="153"/>
      <c r="G618" s="153"/>
      <c r="H618" s="152"/>
      <c r="I618" s="180"/>
      <c r="J618" s="180"/>
      <c r="K618" s="147"/>
      <c r="L618" s="147"/>
      <c r="M618" s="147"/>
      <c r="N618" s="147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153"/>
      <c r="F619" s="153"/>
      <c r="G619" s="153"/>
      <c r="H619" s="152"/>
      <c r="I619" s="180"/>
      <c r="J619" s="180"/>
      <c r="K619" s="147"/>
      <c r="L619" s="147"/>
      <c r="M619" s="147"/>
      <c r="N619" s="147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153"/>
      <c r="F620" s="153"/>
      <c r="G620" s="153"/>
      <c r="H620" s="152"/>
      <c r="I620" s="180"/>
      <c r="J620" s="180"/>
      <c r="K620" s="147"/>
      <c r="L620" s="147"/>
      <c r="M620" s="147"/>
      <c r="N620" s="147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153"/>
      <c r="F621" s="153"/>
      <c r="G621" s="153"/>
      <c r="H621" s="152"/>
      <c r="I621" s="180"/>
      <c r="J621" s="180"/>
      <c r="K621" s="147"/>
      <c r="L621" s="147"/>
      <c r="M621" s="147"/>
      <c r="N621" s="147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153"/>
      <c r="F622" s="153"/>
      <c r="G622" s="153"/>
      <c r="H622" s="152"/>
      <c r="I622" s="180"/>
      <c r="J622" s="180"/>
      <c r="K622" s="147"/>
      <c r="L622" s="147"/>
      <c r="M622" s="147"/>
      <c r="N622" s="147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153"/>
      <c r="F623" s="153"/>
      <c r="G623" s="153"/>
      <c r="H623" s="152"/>
      <c r="I623" s="180"/>
      <c r="J623" s="180"/>
      <c r="K623" s="147"/>
      <c r="L623" s="147"/>
      <c r="M623" s="147"/>
      <c r="N623" s="147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153"/>
      <c r="F624" s="153"/>
      <c r="G624" s="153"/>
      <c r="H624" s="152"/>
      <c r="I624" s="180"/>
      <c r="J624" s="180"/>
      <c r="K624" s="147"/>
      <c r="L624" s="147"/>
      <c r="M624" s="147"/>
      <c r="N624" s="147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153"/>
      <c r="F625" s="153"/>
      <c r="G625" s="153"/>
      <c r="H625" s="152"/>
      <c r="I625" s="180"/>
      <c r="J625" s="180"/>
      <c r="K625" s="147"/>
      <c r="L625" s="147"/>
      <c r="M625" s="147"/>
      <c r="N625" s="147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153"/>
      <c r="F626" s="153"/>
      <c r="G626" s="153"/>
      <c r="H626" s="152"/>
      <c r="I626" s="180"/>
      <c r="J626" s="180"/>
      <c r="K626" s="147"/>
      <c r="L626" s="147"/>
      <c r="M626" s="147"/>
      <c r="N626" s="147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153"/>
      <c r="F627" s="153"/>
      <c r="G627" s="153"/>
      <c r="H627" s="152"/>
      <c r="I627" s="180"/>
      <c r="J627" s="180"/>
      <c r="K627" s="147"/>
      <c r="L627" s="147"/>
      <c r="M627" s="147"/>
      <c r="N627" s="147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153"/>
      <c r="F628" s="153"/>
      <c r="G628" s="153"/>
      <c r="H628" s="152"/>
      <c r="I628" s="180"/>
      <c r="J628" s="180"/>
      <c r="K628" s="147"/>
      <c r="L628" s="147"/>
      <c r="M628" s="147"/>
      <c r="N628" s="147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153"/>
      <c r="F629" s="153"/>
      <c r="G629" s="153"/>
      <c r="H629" s="152"/>
      <c r="I629" s="180"/>
      <c r="J629" s="180"/>
      <c r="K629" s="147"/>
      <c r="L629" s="147"/>
      <c r="M629" s="147"/>
      <c r="N629" s="147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153"/>
      <c r="F630" s="153"/>
      <c r="G630" s="153"/>
      <c r="H630" s="152"/>
      <c r="I630" s="180"/>
      <c r="J630" s="180"/>
      <c r="K630" s="147"/>
      <c r="L630" s="147"/>
      <c r="M630" s="147"/>
      <c r="N630" s="147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153"/>
      <c r="F631" s="153"/>
      <c r="G631" s="153"/>
      <c r="H631" s="152"/>
      <c r="I631" s="180"/>
      <c r="J631" s="180"/>
      <c r="K631" s="147"/>
      <c r="L631" s="147"/>
      <c r="M631" s="147"/>
      <c r="N631" s="147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153"/>
      <c r="F632" s="153"/>
      <c r="G632" s="153"/>
      <c r="H632" s="152"/>
      <c r="I632" s="180"/>
      <c r="J632" s="180"/>
      <c r="K632" s="147"/>
      <c r="L632" s="147"/>
      <c r="M632" s="147"/>
      <c r="N632" s="147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153"/>
      <c r="F633" s="153"/>
      <c r="G633" s="153"/>
      <c r="H633" s="152"/>
      <c r="I633" s="180"/>
      <c r="J633" s="180"/>
      <c r="K633" s="147"/>
      <c r="L633" s="147"/>
      <c r="M633" s="147"/>
      <c r="N633" s="147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153"/>
      <c r="F634" s="153"/>
      <c r="G634" s="153"/>
      <c r="H634" s="152"/>
      <c r="I634" s="180"/>
      <c r="J634" s="180"/>
      <c r="K634" s="147"/>
      <c r="L634" s="147"/>
      <c r="M634" s="147"/>
      <c r="N634" s="147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153"/>
      <c r="F635" s="153"/>
      <c r="G635" s="153"/>
      <c r="H635" s="152"/>
      <c r="I635" s="180"/>
      <c r="J635" s="180"/>
      <c r="K635" s="147"/>
      <c r="L635" s="147"/>
      <c r="M635" s="147"/>
      <c r="N635" s="147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153"/>
      <c r="F636" s="153"/>
      <c r="G636" s="153"/>
      <c r="H636" s="152"/>
      <c r="I636" s="180"/>
      <c r="J636" s="180"/>
      <c r="K636" s="147"/>
      <c r="L636" s="147"/>
      <c r="M636" s="147"/>
      <c r="N636" s="147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153"/>
      <c r="F637" s="153"/>
      <c r="G637" s="153"/>
      <c r="H637" s="152"/>
      <c r="I637" s="180"/>
      <c r="J637" s="180"/>
      <c r="K637" s="147"/>
      <c r="L637" s="147"/>
      <c r="M637" s="147"/>
      <c r="N637" s="147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153"/>
      <c r="F638" s="153"/>
      <c r="G638" s="153"/>
      <c r="H638" s="152"/>
      <c r="I638" s="180"/>
      <c r="J638" s="180"/>
      <c r="K638" s="147"/>
      <c r="L638" s="147"/>
      <c r="M638" s="147"/>
      <c r="N638" s="147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153"/>
      <c r="F639" s="153"/>
      <c r="G639" s="153"/>
      <c r="H639" s="152"/>
      <c r="I639" s="180"/>
      <c r="J639" s="180"/>
      <c r="K639" s="147"/>
      <c r="L639" s="147"/>
      <c r="M639" s="147"/>
      <c r="N639" s="147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153"/>
      <c r="F640" s="153"/>
      <c r="G640" s="153"/>
      <c r="H640" s="152"/>
      <c r="I640" s="180"/>
      <c r="J640" s="180"/>
      <c r="K640" s="147"/>
      <c r="L640" s="147"/>
      <c r="M640" s="147"/>
      <c r="N640" s="147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153"/>
      <c r="F641" s="153"/>
      <c r="G641" s="153"/>
      <c r="H641" s="152"/>
      <c r="I641" s="180"/>
      <c r="J641" s="180"/>
      <c r="K641" s="147"/>
      <c r="L641" s="147"/>
      <c r="M641" s="147"/>
      <c r="N641" s="147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153"/>
      <c r="F642" s="153"/>
      <c r="G642" s="153"/>
      <c r="H642" s="152"/>
      <c r="I642" s="180"/>
      <c r="J642" s="180"/>
      <c r="K642" s="147"/>
      <c r="L642" s="147"/>
      <c r="M642" s="147"/>
      <c r="N642" s="147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153"/>
      <c r="F643" s="153"/>
      <c r="G643" s="153"/>
      <c r="H643" s="152"/>
      <c r="I643" s="180"/>
      <c r="J643" s="180"/>
      <c r="K643" s="147"/>
      <c r="L643" s="147"/>
      <c r="M643" s="147"/>
      <c r="N643" s="147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153"/>
      <c r="F644" s="153"/>
      <c r="G644" s="153"/>
      <c r="H644" s="152"/>
      <c r="I644" s="180"/>
      <c r="J644" s="180"/>
      <c r="K644" s="147"/>
      <c r="L644" s="147"/>
      <c r="M644" s="147"/>
      <c r="N644" s="147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153"/>
      <c r="F645" s="153"/>
      <c r="G645" s="153"/>
      <c r="H645" s="152"/>
      <c r="I645" s="180"/>
      <c r="J645" s="180"/>
      <c r="K645" s="147"/>
      <c r="L645" s="147"/>
      <c r="M645" s="147"/>
      <c r="N645" s="147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153"/>
      <c r="F646" s="153"/>
      <c r="G646" s="153"/>
      <c r="H646" s="152"/>
      <c r="I646" s="180"/>
      <c r="J646" s="180"/>
      <c r="K646" s="147"/>
      <c r="L646" s="147"/>
      <c r="M646" s="147"/>
      <c r="N646" s="147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153"/>
      <c r="F647" s="153"/>
      <c r="G647" s="153"/>
      <c r="H647" s="152"/>
      <c r="I647" s="180"/>
      <c r="J647" s="180"/>
      <c r="K647" s="147"/>
      <c r="L647" s="147"/>
      <c r="M647" s="147"/>
      <c r="N647" s="147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153"/>
      <c r="F648" s="153"/>
      <c r="G648" s="153"/>
      <c r="H648" s="152"/>
      <c r="I648" s="180"/>
      <c r="J648" s="180"/>
      <c r="K648" s="147"/>
      <c r="L648" s="147"/>
      <c r="M648" s="147"/>
      <c r="N648" s="147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153"/>
      <c r="F649" s="153"/>
      <c r="G649" s="153"/>
      <c r="H649" s="152"/>
      <c r="I649" s="180"/>
      <c r="J649" s="180"/>
      <c r="K649" s="147"/>
      <c r="L649" s="147"/>
      <c r="M649" s="147"/>
      <c r="N649" s="147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153"/>
      <c r="F650" s="153"/>
      <c r="G650" s="153"/>
      <c r="H650" s="152"/>
      <c r="I650" s="180"/>
      <c r="J650" s="180"/>
      <c r="K650" s="147"/>
      <c r="L650" s="147"/>
      <c r="M650" s="147"/>
      <c r="N650" s="147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153"/>
      <c r="F651" s="153"/>
      <c r="G651" s="153"/>
      <c r="H651" s="152"/>
      <c r="I651" s="180"/>
      <c r="J651" s="180"/>
      <c r="K651" s="147"/>
      <c r="L651" s="147"/>
      <c r="M651" s="147"/>
      <c r="N651" s="147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153"/>
      <c r="F652" s="153"/>
      <c r="G652" s="153"/>
      <c r="H652" s="152"/>
      <c r="I652" s="180"/>
      <c r="J652" s="180"/>
      <c r="K652" s="147"/>
      <c r="L652" s="147"/>
      <c r="M652" s="147"/>
      <c r="N652" s="147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153"/>
      <c r="F653" s="153"/>
      <c r="G653" s="153"/>
      <c r="H653" s="152"/>
      <c r="I653" s="180"/>
      <c r="J653" s="180"/>
      <c r="K653" s="147"/>
      <c r="L653" s="147"/>
      <c r="M653" s="147"/>
      <c r="N653" s="147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153"/>
      <c r="F654" s="153"/>
      <c r="G654" s="153"/>
      <c r="H654" s="152"/>
      <c r="I654" s="180"/>
      <c r="J654" s="180"/>
      <c r="K654" s="147"/>
      <c r="L654" s="147"/>
      <c r="M654" s="147"/>
      <c r="N654" s="147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153"/>
      <c r="F655" s="153"/>
      <c r="G655" s="153"/>
      <c r="H655" s="152"/>
      <c r="I655" s="180"/>
      <c r="J655" s="180"/>
      <c r="K655" s="147"/>
      <c r="L655" s="147"/>
      <c r="M655" s="147"/>
      <c r="N655" s="147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153"/>
      <c r="F656" s="153"/>
      <c r="G656" s="153"/>
      <c r="H656" s="152"/>
      <c r="I656" s="180"/>
      <c r="J656" s="180"/>
      <c r="K656" s="147"/>
      <c r="L656" s="147"/>
      <c r="M656" s="147"/>
      <c r="N656" s="147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153"/>
      <c r="F657" s="153"/>
      <c r="G657" s="153"/>
      <c r="H657" s="152"/>
      <c r="I657" s="180"/>
      <c r="J657" s="180"/>
      <c r="K657" s="147"/>
      <c r="L657" s="147"/>
      <c r="M657" s="147"/>
      <c r="N657" s="147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153"/>
      <c r="F658" s="153"/>
      <c r="G658" s="153"/>
      <c r="H658" s="152"/>
      <c r="I658" s="180"/>
      <c r="J658" s="180"/>
      <c r="K658" s="147"/>
      <c r="L658" s="147"/>
      <c r="M658" s="147"/>
      <c r="N658" s="147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153"/>
      <c r="F659" s="153"/>
      <c r="G659" s="153"/>
      <c r="H659" s="152"/>
      <c r="I659" s="180"/>
      <c r="J659" s="180"/>
      <c r="K659" s="147"/>
      <c r="L659" s="147"/>
      <c r="M659" s="147"/>
      <c r="N659" s="147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153"/>
      <c r="F660" s="153"/>
      <c r="G660" s="153"/>
      <c r="H660" s="152"/>
      <c r="I660" s="180"/>
      <c r="J660" s="180"/>
      <c r="K660" s="147"/>
      <c r="L660" s="147"/>
      <c r="M660" s="147"/>
      <c r="N660" s="147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153"/>
      <c r="F661" s="153"/>
      <c r="G661" s="153"/>
      <c r="H661" s="152"/>
      <c r="I661" s="180"/>
      <c r="J661" s="180"/>
      <c r="K661" s="147"/>
      <c r="L661" s="147"/>
      <c r="M661" s="147"/>
      <c r="N661" s="147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153"/>
      <c r="F662" s="153"/>
      <c r="G662" s="153"/>
      <c r="H662" s="152"/>
      <c r="I662" s="180"/>
      <c r="J662" s="180"/>
      <c r="K662" s="147"/>
      <c r="L662" s="147"/>
      <c r="M662" s="147"/>
      <c r="N662" s="147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153"/>
      <c r="F663" s="153"/>
      <c r="G663" s="153"/>
      <c r="H663" s="152"/>
      <c r="I663" s="180"/>
      <c r="J663" s="180"/>
      <c r="K663" s="147"/>
      <c r="L663" s="147"/>
      <c r="M663" s="147"/>
      <c r="N663" s="147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153"/>
      <c r="F664" s="153"/>
      <c r="G664" s="153"/>
      <c r="H664" s="152"/>
      <c r="I664" s="180"/>
      <c r="J664" s="180"/>
      <c r="K664" s="147"/>
      <c r="L664" s="147"/>
      <c r="M664" s="147"/>
      <c r="N664" s="147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153"/>
      <c r="F665" s="153"/>
      <c r="G665" s="153"/>
      <c r="H665" s="152"/>
      <c r="I665" s="180"/>
      <c r="J665" s="180"/>
      <c r="K665" s="147"/>
      <c r="L665" s="147"/>
      <c r="M665" s="147"/>
      <c r="N665" s="147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153"/>
      <c r="F666" s="153"/>
      <c r="G666" s="153"/>
      <c r="H666" s="152"/>
      <c r="I666" s="180"/>
      <c r="J666" s="180"/>
      <c r="K666" s="147"/>
      <c r="L666" s="147"/>
      <c r="M666" s="147"/>
      <c r="N666" s="147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153"/>
      <c r="F667" s="153"/>
      <c r="G667" s="153"/>
      <c r="H667" s="152"/>
      <c r="I667" s="180"/>
      <c r="J667" s="180"/>
      <c r="K667" s="147"/>
      <c r="L667" s="147"/>
      <c r="M667" s="147"/>
      <c r="N667" s="147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153"/>
      <c r="F668" s="153"/>
      <c r="G668" s="153"/>
      <c r="H668" s="152"/>
      <c r="I668" s="180"/>
      <c r="J668" s="180"/>
      <c r="K668" s="147"/>
      <c r="L668" s="147"/>
      <c r="M668" s="147"/>
      <c r="N668" s="147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153"/>
      <c r="F669" s="153"/>
      <c r="G669" s="153"/>
      <c r="H669" s="152"/>
      <c r="I669" s="180"/>
      <c r="J669" s="180"/>
      <c r="K669" s="147"/>
      <c r="L669" s="147"/>
      <c r="M669" s="147"/>
      <c r="N669" s="147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153"/>
      <c r="F670" s="153"/>
      <c r="G670" s="153"/>
      <c r="H670" s="152"/>
      <c r="I670" s="180"/>
      <c r="J670" s="180"/>
      <c r="K670" s="147"/>
      <c r="L670" s="147"/>
      <c r="M670" s="147"/>
      <c r="N670" s="147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153"/>
      <c r="F671" s="153"/>
      <c r="G671" s="153"/>
      <c r="H671" s="152"/>
      <c r="I671" s="180"/>
      <c r="J671" s="180"/>
      <c r="K671" s="147"/>
      <c r="L671" s="147"/>
      <c r="M671" s="147"/>
      <c r="N671" s="147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153"/>
      <c r="F672" s="153"/>
      <c r="G672" s="153"/>
      <c r="H672" s="152"/>
      <c r="I672" s="180"/>
      <c r="J672" s="180"/>
      <c r="K672" s="147"/>
      <c r="L672" s="147"/>
      <c r="M672" s="147"/>
      <c r="N672" s="147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153"/>
      <c r="F673" s="153"/>
      <c r="G673" s="153"/>
      <c r="H673" s="152"/>
      <c r="I673" s="180"/>
      <c r="J673" s="180"/>
      <c r="K673" s="147"/>
      <c r="L673" s="147"/>
      <c r="M673" s="147"/>
      <c r="N673" s="147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153"/>
      <c r="F674" s="153"/>
      <c r="G674" s="153"/>
      <c r="H674" s="152"/>
      <c r="I674" s="180"/>
      <c r="J674" s="180"/>
      <c r="K674" s="147"/>
      <c r="L674" s="147"/>
      <c r="M674" s="147"/>
      <c r="N674" s="147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153"/>
      <c r="F675" s="153"/>
      <c r="G675" s="153"/>
      <c r="H675" s="152"/>
      <c r="I675" s="180"/>
      <c r="J675" s="180"/>
      <c r="K675" s="147"/>
      <c r="L675" s="147"/>
      <c r="M675" s="147"/>
      <c r="N675" s="147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153"/>
      <c r="F676" s="153"/>
      <c r="G676" s="153"/>
      <c r="H676" s="152"/>
      <c r="I676" s="180"/>
      <c r="J676" s="180"/>
      <c r="K676" s="147"/>
      <c r="L676" s="147"/>
      <c r="M676" s="147"/>
      <c r="N676" s="147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153"/>
      <c r="F677" s="153"/>
      <c r="G677" s="153"/>
      <c r="H677" s="152"/>
      <c r="I677" s="180"/>
      <c r="J677" s="180"/>
      <c r="K677" s="147"/>
      <c r="L677" s="147"/>
      <c r="M677" s="147"/>
      <c r="N677" s="147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153"/>
      <c r="F678" s="153"/>
      <c r="G678" s="153"/>
      <c r="H678" s="152"/>
      <c r="I678" s="180"/>
      <c r="J678" s="180"/>
      <c r="K678" s="147"/>
      <c r="L678" s="147"/>
      <c r="M678" s="147"/>
      <c r="N678" s="147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153"/>
      <c r="F679" s="153"/>
      <c r="G679" s="153"/>
      <c r="H679" s="152"/>
      <c r="I679" s="180"/>
      <c r="J679" s="180"/>
      <c r="K679" s="147"/>
      <c r="L679" s="147"/>
      <c r="M679" s="147"/>
      <c r="N679" s="147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153"/>
      <c r="F680" s="153"/>
      <c r="G680" s="153"/>
      <c r="H680" s="152"/>
      <c r="I680" s="180"/>
      <c r="J680" s="180"/>
      <c r="K680" s="147"/>
      <c r="L680" s="147"/>
      <c r="M680" s="147"/>
      <c r="N680" s="147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153"/>
      <c r="F681" s="153"/>
      <c r="G681" s="153"/>
      <c r="H681" s="152"/>
      <c r="I681" s="180"/>
      <c r="J681" s="180"/>
      <c r="K681" s="147"/>
      <c r="L681" s="147"/>
      <c r="M681" s="147"/>
      <c r="N681" s="147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153"/>
      <c r="F682" s="153"/>
      <c r="G682" s="153"/>
      <c r="H682" s="152"/>
      <c r="I682" s="180"/>
      <c r="J682" s="180"/>
      <c r="K682" s="147"/>
      <c r="L682" s="147"/>
      <c r="M682" s="147"/>
      <c r="N682" s="147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153"/>
      <c r="F683" s="153"/>
      <c r="G683" s="153"/>
      <c r="H683" s="152"/>
      <c r="I683" s="180"/>
      <c r="J683" s="180"/>
      <c r="K683" s="147"/>
      <c r="L683" s="147"/>
      <c r="M683" s="147"/>
      <c r="N683" s="147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153"/>
      <c r="F684" s="153"/>
      <c r="G684" s="153"/>
      <c r="H684" s="152"/>
      <c r="I684" s="180"/>
      <c r="J684" s="180"/>
      <c r="K684" s="147"/>
      <c r="L684" s="147"/>
      <c r="M684" s="147"/>
      <c r="N684" s="147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153"/>
      <c r="F685" s="153"/>
      <c r="G685" s="153"/>
      <c r="H685" s="152"/>
      <c r="I685" s="180"/>
      <c r="J685" s="180"/>
      <c r="K685" s="147"/>
      <c r="L685" s="147"/>
      <c r="M685" s="147"/>
      <c r="N685" s="147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153"/>
      <c r="F686" s="153"/>
      <c r="G686" s="153"/>
      <c r="H686" s="152"/>
      <c r="I686" s="180"/>
      <c r="J686" s="180"/>
      <c r="K686" s="147"/>
      <c r="L686" s="147"/>
      <c r="M686" s="147"/>
      <c r="N686" s="147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153"/>
      <c r="F687" s="153"/>
      <c r="G687" s="153"/>
      <c r="H687" s="152"/>
      <c r="I687" s="180"/>
      <c r="J687" s="180"/>
      <c r="K687" s="147"/>
      <c r="L687" s="147"/>
      <c r="M687" s="147"/>
      <c r="N687" s="147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153"/>
      <c r="F688" s="153"/>
      <c r="G688" s="153"/>
      <c r="H688" s="152"/>
      <c r="I688" s="180"/>
      <c r="J688" s="180"/>
      <c r="K688" s="147"/>
      <c r="L688" s="147"/>
      <c r="M688" s="147"/>
      <c r="N688" s="147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153"/>
      <c r="F689" s="153"/>
      <c r="G689" s="153"/>
      <c r="H689" s="152"/>
      <c r="I689" s="180"/>
      <c r="J689" s="180"/>
      <c r="K689" s="147"/>
      <c r="L689" s="147"/>
      <c r="M689" s="147"/>
      <c r="N689" s="147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153"/>
      <c r="F690" s="153"/>
      <c r="G690" s="153"/>
      <c r="H690" s="152"/>
      <c r="I690" s="180"/>
      <c r="J690" s="180"/>
      <c r="K690" s="147"/>
      <c r="L690" s="147"/>
      <c r="M690" s="147"/>
      <c r="N690" s="147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153"/>
      <c r="F691" s="153"/>
      <c r="G691" s="153"/>
      <c r="H691" s="152"/>
      <c r="I691" s="180"/>
      <c r="J691" s="180"/>
      <c r="K691" s="147"/>
      <c r="L691" s="147"/>
      <c r="M691" s="147"/>
      <c r="N691" s="147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153"/>
      <c r="F692" s="153"/>
      <c r="G692" s="153"/>
      <c r="H692" s="152"/>
      <c r="I692" s="180"/>
      <c r="J692" s="180"/>
      <c r="K692" s="147"/>
      <c r="L692" s="147"/>
      <c r="M692" s="147"/>
      <c r="N692" s="147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153"/>
      <c r="F693" s="153"/>
      <c r="G693" s="153"/>
      <c r="H693" s="152"/>
      <c r="I693" s="180"/>
      <c r="J693" s="180"/>
      <c r="K693" s="147"/>
      <c r="L693" s="147"/>
      <c r="M693" s="147"/>
      <c r="N693" s="147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153"/>
      <c r="F694" s="153"/>
      <c r="G694" s="153"/>
      <c r="H694" s="152"/>
      <c r="I694" s="180"/>
      <c r="J694" s="180"/>
      <c r="K694" s="147"/>
      <c r="L694" s="147"/>
      <c r="M694" s="147"/>
      <c r="N694" s="147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153"/>
      <c r="F695" s="153"/>
      <c r="G695" s="153"/>
      <c r="H695" s="152"/>
      <c r="I695" s="180"/>
      <c r="J695" s="180"/>
      <c r="K695" s="147"/>
      <c r="L695" s="147"/>
      <c r="M695" s="147"/>
      <c r="N695" s="147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153"/>
      <c r="F696" s="153"/>
      <c r="G696" s="153"/>
      <c r="H696" s="152"/>
      <c r="I696" s="180"/>
      <c r="J696" s="180"/>
      <c r="K696" s="147"/>
      <c r="L696" s="147"/>
      <c r="M696" s="147"/>
      <c r="N696" s="147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153"/>
      <c r="F697" s="153"/>
      <c r="G697" s="153"/>
      <c r="H697" s="152"/>
      <c r="I697" s="180"/>
      <c r="J697" s="180"/>
      <c r="K697" s="147"/>
      <c r="L697" s="147"/>
      <c r="M697" s="147"/>
      <c r="N697" s="147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153"/>
      <c r="F698" s="153"/>
      <c r="G698" s="153"/>
      <c r="H698" s="152"/>
      <c r="I698" s="180"/>
      <c r="J698" s="180"/>
      <c r="K698" s="147"/>
      <c r="L698" s="147"/>
      <c r="M698" s="147"/>
      <c r="N698" s="147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153"/>
      <c r="F699" s="153"/>
      <c r="G699" s="153"/>
      <c r="H699" s="152"/>
      <c r="I699" s="180"/>
      <c r="J699" s="180"/>
      <c r="K699" s="147"/>
      <c r="L699" s="147"/>
      <c r="M699" s="147"/>
      <c r="N699" s="147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153"/>
      <c r="F700" s="153"/>
      <c r="G700" s="153"/>
      <c r="H700" s="152"/>
      <c r="I700" s="180"/>
      <c r="J700" s="180"/>
      <c r="K700" s="147"/>
      <c r="L700" s="147"/>
      <c r="M700" s="147"/>
      <c r="N700" s="147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153"/>
      <c r="F701" s="153"/>
      <c r="G701" s="153"/>
      <c r="H701" s="152"/>
      <c r="I701" s="180"/>
      <c r="J701" s="180"/>
      <c r="K701" s="147"/>
      <c r="L701" s="147"/>
      <c r="M701" s="147"/>
      <c r="N701" s="147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153"/>
      <c r="F702" s="153"/>
      <c r="G702" s="153"/>
      <c r="H702" s="152"/>
      <c r="I702" s="180"/>
      <c r="J702" s="180"/>
      <c r="K702" s="147"/>
      <c r="L702" s="147"/>
      <c r="M702" s="147"/>
      <c r="N702" s="147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153"/>
      <c r="F703" s="153"/>
      <c r="G703" s="153"/>
      <c r="H703" s="152"/>
      <c r="I703" s="180"/>
      <c r="J703" s="180"/>
      <c r="K703" s="147"/>
      <c r="L703" s="147"/>
      <c r="M703" s="147"/>
      <c r="N703" s="147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153"/>
      <c r="F704" s="153"/>
      <c r="G704" s="153"/>
      <c r="H704" s="152"/>
      <c r="I704" s="180"/>
      <c r="J704" s="180"/>
      <c r="K704" s="147"/>
      <c r="L704" s="147"/>
      <c r="M704" s="147"/>
      <c r="N704" s="147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153"/>
      <c r="F705" s="153"/>
      <c r="G705" s="153"/>
      <c r="H705" s="152"/>
      <c r="I705" s="180"/>
      <c r="J705" s="180"/>
      <c r="K705" s="147"/>
      <c r="L705" s="147"/>
      <c r="M705" s="147"/>
      <c r="N705" s="147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153"/>
      <c r="F706" s="153"/>
      <c r="G706" s="153"/>
      <c r="H706" s="152"/>
      <c r="I706" s="180"/>
      <c r="J706" s="180"/>
      <c r="K706" s="147"/>
      <c r="L706" s="147"/>
      <c r="M706" s="147"/>
      <c r="N706" s="147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153"/>
      <c r="F707" s="153"/>
      <c r="G707" s="153"/>
      <c r="H707" s="152"/>
      <c r="I707" s="180"/>
      <c r="J707" s="180"/>
      <c r="K707" s="147"/>
      <c r="L707" s="147"/>
      <c r="M707" s="147"/>
      <c r="N707" s="147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153"/>
      <c r="F708" s="153"/>
      <c r="G708" s="153"/>
      <c r="H708" s="152"/>
      <c r="I708" s="180"/>
      <c r="J708" s="180"/>
      <c r="K708" s="147"/>
      <c r="L708" s="147"/>
      <c r="M708" s="147"/>
      <c r="N708" s="147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153"/>
      <c r="F709" s="153"/>
      <c r="G709" s="153"/>
      <c r="H709" s="152"/>
      <c r="I709" s="180"/>
      <c r="J709" s="180"/>
      <c r="K709" s="147"/>
      <c r="L709" s="147"/>
      <c r="M709" s="147"/>
      <c r="N709" s="147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153"/>
      <c r="F710" s="153"/>
      <c r="G710" s="153"/>
      <c r="H710" s="152"/>
      <c r="I710" s="180"/>
      <c r="J710" s="180"/>
      <c r="K710" s="147"/>
      <c r="L710" s="147"/>
      <c r="M710" s="147"/>
      <c r="N710" s="147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153"/>
      <c r="F711" s="153"/>
      <c r="G711" s="153"/>
      <c r="H711" s="152"/>
      <c r="I711" s="180"/>
      <c r="J711" s="180"/>
      <c r="K711" s="147"/>
      <c r="L711" s="147"/>
      <c r="M711" s="147"/>
      <c r="N711" s="147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153"/>
      <c r="F712" s="153"/>
      <c r="G712" s="153"/>
      <c r="H712" s="152"/>
      <c r="I712" s="180"/>
      <c r="J712" s="180"/>
      <c r="K712" s="147"/>
      <c r="L712" s="147"/>
      <c r="M712" s="147"/>
      <c r="N712" s="147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153"/>
      <c r="F713" s="153"/>
      <c r="G713" s="153"/>
      <c r="H713" s="152"/>
      <c r="I713" s="180"/>
      <c r="J713" s="180"/>
      <c r="K713" s="147"/>
      <c r="L713" s="147"/>
      <c r="M713" s="147"/>
      <c r="N713" s="147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153"/>
      <c r="F714" s="153"/>
      <c r="G714" s="153"/>
      <c r="H714" s="152"/>
      <c r="I714" s="180"/>
      <c r="J714" s="180"/>
      <c r="K714" s="147"/>
      <c r="L714" s="147"/>
      <c r="M714" s="147"/>
      <c r="N714" s="147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153"/>
      <c r="F715" s="153"/>
      <c r="G715" s="153"/>
      <c r="H715" s="152"/>
      <c r="I715" s="180"/>
      <c r="J715" s="180"/>
      <c r="K715" s="147"/>
      <c r="L715" s="147"/>
      <c r="M715" s="147"/>
      <c r="N715" s="147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153"/>
      <c r="F716" s="153"/>
      <c r="G716" s="153"/>
      <c r="H716" s="152"/>
      <c r="I716" s="180"/>
      <c r="J716" s="180"/>
      <c r="K716" s="147"/>
      <c r="L716" s="147"/>
      <c r="M716" s="147"/>
      <c r="N716" s="147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153"/>
      <c r="F717" s="153"/>
      <c r="G717" s="153"/>
      <c r="H717" s="152"/>
      <c r="I717" s="180"/>
      <c r="J717" s="180"/>
      <c r="K717" s="147"/>
      <c r="L717" s="147"/>
      <c r="M717" s="147"/>
      <c r="N717" s="147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153"/>
      <c r="F718" s="153"/>
      <c r="G718" s="153"/>
      <c r="H718" s="152"/>
      <c r="I718" s="180"/>
      <c r="J718" s="180"/>
      <c r="K718" s="147"/>
      <c r="L718" s="147"/>
      <c r="M718" s="147"/>
      <c r="N718" s="147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153"/>
      <c r="F719" s="153"/>
      <c r="G719" s="153"/>
      <c r="H719" s="152"/>
      <c r="I719" s="180"/>
      <c r="J719" s="180"/>
      <c r="K719" s="147"/>
      <c r="L719" s="147"/>
      <c r="M719" s="147"/>
      <c r="N719" s="147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153"/>
      <c r="F720" s="153"/>
      <c r="G720" s="153"/>
      <c r="H720" s="152"/>
      <c r="I720" s="180"/>
      <c r="J720" s="180"/>
      <c r="K720" s="147"/>
      <c r="L720" s="147"/>
      <c r="M720" s="147"/>
      <c r="N720" s="147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153"/>
      <c r="F721" s="153"/>
      <c r="G721" s="153"/>
      <c r="H721" s="152"/>
      <c r="I721" s="180"/>
      <c r="J721" s="180"/>
      <c r="K721" s="147"/>
      <c r="L721" s="147"/>
      <c r="M721" s="147"/>
      <c r="N721" s="147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153"/>
      <c r="F722" s="153"/>
      <c r="G722" s="153"/>
      <c r="H722" s="152"/>
      <c r="I722" s="180"/>
      <c r="J722" s="180"/>
      <c r="K722" s="147"/>
      <c r="L722" s="147"/>
      <c r="M722" s="147"/>
      <c r="N722" s="147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153"/>
      <c r="F723" s="153"/>
      <c r="G723" s="153"/>
      <c r="H723" s="152"/>
      <c r="I723" s="180"/>
      <c r="J723" s="180"/>
      <c r="K723" s="147"/>
      <c r="L723" s="147"/>
      <c r="M723" s="147"/>
      <c r="N723" s="147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153"/>
      <c r="F724" s="153"/>
      <c r="G724" s="153"/>
      <c r="H724" s="152"/>
      <c r="I724" s="180"/>
      <c r="J724" s="180"/>
      <c r="K724" s="147"/>
      <c r="L724" s="147"/>
      <c r="M724" s="147"/>
      <c r="N724" s="147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153"/>
      <c r="F725" s="153"/>
      <c r="G725" s="153"/>
      <c r="H725" s="152"/>
      <c r="I725" s="180"/>
      <c r="J725" s="180"/>
      <c r="K725" s="147"/>
      <c r="L725" s="147"/>
      <c r="M725" s="147"/>
      <c r="N725" s="147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153"/>
      <c r="F726" s="153"/>
      <c r="G726" s="153"/>
      <c r="H726" s="152"/>
      <c r="I726" s="180"/>
      <c r="J726" s="180"/>
      <c r="K726" s="147"/>
      <c r="L726" s="147"/>
      <c r="M726" s="147"/>
      <c r="N726" s="147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153"/>
      <c r="F727" s="153"/>
      <c r="G727" s="153"/>
      <c r="H727" s="152"/>
      <c r="I727" s="180"/>
      <c r="J727" s="180"/>
      <c r="K727" s="147"/>
      <c r="L727" s="147"/>
      <c r="M727" s="147"/>
      <c r="N727" s="147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153"/>
      <c r="F728" s="153"/>
      <c r="G728" s="153"/>
      <c r="H728" s="152"/>
      <c r="I728" s="180"/>
      <c r="J728" s="180"/>
      <c r="K728" s="147"/>
      <c r="L728" s="147"/>
      <c r="M728" s="147"/>
      <c r="N728" s="147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153"/>
      <c r="F729" s="153"/>
      <c r="G729" s="153"/>
      <c r="H729" s="152"/>
      <c r="I729" s="180"/>
      <c r="J729" s="180"/>
      <c r="K729" s="147"/>
      <c r="L729" s="147"/>
      <c r="M729" s="147"/>
      <c r="N729" s="147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153"/>
      <c r="F730" s="153"/>
      <c r="G730" s="153"/>
      <c r="H730" s="152"/>
      <c r="I730" s="180"/>
      <c r="J730" s="180"/>
      <c r="K730" s="147"/>
      <c r="L730" s="147"/>
      <c r="M730" s="147"/>
      <c r="N730" s="147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153"/>
      <c r="F731" s="153"/>
      <c r="G731" s="153"/>
      <c r="H731" s="152"/>
      <c r="I731" s="180"/>
      <c r="J731" s="180"/>
      <c r="K731" s="147"/>
      <c r="L731" s="147"/>
      <c r="M731" s="147"/>
      <c r="N731" s="147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153"/>
      <c r="F732" s="153"/>
      <c r="G732" s="153"/>
      <c r="H732" s="152"/>
      <c r="I732" s="180"/>
      <c r="J732" s="180"/>
      <c r="K732" s="147"/>
      <c r="L732" s="147"/>
      <c r="M732" s="147"/>
      <c r="N732" s="147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153"/>
      <c r="F733" s="153"/>
      <c r="G733" s="153"/>
      <c r="H733" s="152"/>
      <c r="I733" s="180"/>
      <c r="J733" s="180"/>
      <c r="K733" s="147"/>
      <c r="L733" s="147"/>
      <c r="M733" s="147"/>
      <c r="N733" s="147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153"/>
      <c r="F734" s="153"/>
      <c r="G734" s="153"/>
      <c r="H734" s="152"/>
      <c r="I734" s="180"/>
      <c r="J734" s="180"/>
      <c r="K734" s="147"/>
      <c r="L734" s="147"/>
      <c r="M734" s="147"/>
      <c r="N734" s="147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153"/>
      <c r="F735" s="153"/>
      <c r="G735" s="153"/>
      <c r="H735" s="152"/>
      <c r="I735" s="180"/>
      <c r="J735" s="180"/>
      <c r="K735" s="147"/>
      <c r="L735" s="147"/>
      <c r="M735" s="147"/>
      <c r="N735" s="147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153"/>
      <c r="F736" s="153"/>
      <c r="G736" s="153"/>
      <c r="H736" s="152"/>
      <c r="I736" s="180"/>
      <c r="J736" s="180"/>
      <c r="K736" s="147"/>
      <c r="L736" s="147"/>
      <c r="M736" s="147"/>
      <c r="N736" s="147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153"/>
      <c r="F737" s="153"/>
      <c r="G737" s="153"/>
      <c r="H737" s="152"/>
      <c r="I737" s="180"/>
      <c r="J737" s="180"/>
      <c r="K737" s="147"/>
      <c r="L737" s="147"/>
      <c r="M737" s="147"/>
      <c r="N737" s="147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153"/>
      <c r="F738" s="153"/>
      <c r="G738" s="153"/>
      <c r="H738" s="152"/>
      <c r="I738" s="180"/>
      <c r="J738" s="180"/>
      <c r="K738" s="147"/>
      <c r="L738" s="147"/>
      <c r="M738" s="147"/>
      <c r="N738" s="147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153"/>
      <c r="F739" s="153"/>
      <c r="G739" s="153"/>
      <c r="H739" s="152"/>
      <c r="I739" s="180"/>
      <c r="J739" s="180"/>
      <c r="K739" s="147"/>
      <c r="L739" s="147"/>
      <c r="M739" s="147"/>
      <c r="N739" s="147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153"/>
      <c r="F740" s="153"/>
      <c r="G740" s="153"/>
      <c r="H740" s="152"/>
      <c r="I740" s="180"/>
      <c r="J740" s="180"/>
      <c r="K740" s="147"/>
      <c r="L740" s="147"/>
      <c r="M740" s="147"/>
      <c r="N740" s="147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153"/>
      <c r="F741" s="153"/>
      <c r="G741" s="153"/>
      <c r="H741" s="152"/>
      <c r="I741" s="180"/>
      <c r="J741" s="180"/>
      <c r="K741" s="147"/>
      <c r="L741" s="147"/>
      <c r="M741" s="147"/>
      <c r="N741" s="147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153"/>
      <c r="F742" s="153"/>
      <c r="G742" s="153"/>
      <c r="H742" s="152"/>
      <c r="I742" s="180"/>
      <c r="J742" s="180"/>
      <c r="K742" s="147"/>
      <c r="L742" s="147"/>
      <c r="M742" s="147"/>
      <c r="N742" s="147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153"/>
      <c r="F743" s="153"/>
      <c r="G743" s="153"/>
      <c r="H743" s="152"/>
      <c r="I743" s="180"/>
      <c r="J743" s="180"/>
      <c r="K743" s="147"/>
      <c r="L743" s="147"/>
      <c r="M743" s="147"/>
      <c r="N743" s="147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153"/>
      <c r="F744" s="153"/>
      <c r="G744" s="153"/>
      <c r="H744" s="152"/>
      <c r="I744" s="180"/>
      <c r="J744" s="180"/>
      <c r="K744" s="147"/>
      <c r="L744" s="147"/>
      <c r="M744" s="147"/>
      <c r="N744" s="147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153"/>
      <c r="F745" s="153"/>
      <c r="G745" s="153"/>
      <c r="H745" s="152"/>
      <c r="I745" s="180"/>
      <c r="J745" s="180"/>
      <c r="K745" s="147"/>
      <c r="L745" s="147"/>
      <c r="M745" s="147"/>
      <c r="N745" s="147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153"/>
      <c r="F746" s="153"/>
      <c r="G746" s="153"/>
      <c r="H746" s="152"/>
      <c r="I746" s="180"/>
      <c r="J746" s="180"/>
      <c r="K746" s="147"/>
      <c r="L746" s="147"/>
      <c r="M746" s="147"/>
      <c r="N746" s="147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153"/>
      <c r="F747" s="153"/>
      <c r="G747" s="153"/>
      <c r="H747" s="152"/>
      <c r="I747" s="180"/>
      <c r="J747" s="180"/>
      <c r="K747" s="147"/>
      <c r="L747" s="147"/>
      <c r="M747" s="147"/>
      <c r="N747" s="147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153"/>
      <c r="F748" s="153"/>
      <c r="G748" s="153"/>
      <c r="H748" s="152"/>
      <c r="I748" s="180"/>
      <c r="J748" s="180"/>
      <c r="K748" s="147"/>
      <c r="L748" s="147"/>
      <c r="M748" s="147"/>
      <c r="N748" s="147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153"/>
      <c r="F749" s="153"/>
      <c r="G749" s="153"/>
      <c r="H749" s="152"/>
      <c r="I749" s="180"/>
      <c r="J749" s="180"/>
      <c r="K749" s="147"/>
      <c r="L749" s="147"/>
      <c r="M749" s="147"/>
      <c r="N749" s="147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153"/>
      <c r="F750" s="153"/>
      <c r="G750" s="153"/>
      <c r="H750" s="152"/>
      <c r="I750" s="180"/>
      <c r="J750" s="180"/>
      <c r="K750" s="147"/>
      <c r="L750" s="147"/>
      <c r="M750" s="147"/>
      <c r="N750" s="147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153"/>
      <c r="F751" s="153"/>
      <c r="G751" s="153"/>
      <c r="H751" s="152"/>
      <c r="I751" s="180"/>
      <c r="J751" s="180"/>
      <c r="K751" s="147"/>
      <c r="L751" s="147"/>
      <c r="M751" s="147"/>
      <c r="N751" s="147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153"/>
      <c r="F752" s="153"/>
      <c r="G752" s="153"/>
      <c r="H752" s="152"/>
      <c r="I752" s="180"/>
      <c r="J752" s="180"/>
      <c r="K752" s="147"/>
      <c r="L752" s="147"/>
      <c r="M752" s="147"/>
      <c r="N752" s="147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153"/>
      <c r="F753" s="153"/>
      <c r="G753" s="153"/>
      <c r="H753" s="152"/>
      <c r="I753" s="180"/>
      <c r="J753" s="180"/>
      <c r="K753" s="147"/>
      <c r="L753" s="147"/>
      <c r="M753" s="147"/>
      <c r="N753" s="147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153"/>
      <c r="F754" s="153"/>
      <c r="G754" s="153"/>
      <c r="H754" s="152"/>
      <c r="I754" s="180"/>
      <c r="J754" s="180"/>
      <c r="K754" s="147"/>
      <c r="L754" s="147"/>
      <c r="M754" s="147"/>
      <c r="N754" s="147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153"/>
      <c r="F755" s="153"/>
      <c r="G755" s="153"/>
      <c r="H755" s="152"/>
      <c r="I755" s="180"/>
      <c r="J755" s="180"/>
      <c r="K755" s="147"/>
      <c r="L755" s="147"/>
      <c r="M755" s="147"/>
      <c r="N755" s="147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153"/>
      <c r="F756" s="153"/>
      <c r="G756" s="153"/>
      <c r="H756" s="152"/>
      <c r="I756" s="180"/>
      <c r="J756" s="180"/>
      <c r="K756" s="147"/>
      <c r="L756" s="147"/>
      <c r="M756" s="147"/>
      <c r="N756" s="147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153"/>
      <c r="F757" s="153"/>
      <c r="G757" s="153"/>
      <c r="H757" s="152"/>
      <c r="I757" s="180"/>
      <c r="J757" s="180"/>
      <c r="K757" s="147"/>
      <c r="L757" s="147"/>
      <c r="M757" s="147"/>
      <c r="N757" s="147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153"/>
      <c r="F758" s="153"/>
      <c r="G758" s="153"/>
      <c r="H758" s="152"/>
      <c r="I758" s="180"/>
      <c r="J758" s="180"/>
      <c r="K758" s="147"/>
      <c r="L758" s="147"/>
      <c r="M758" s="147"/>
      <c r="N758" s="147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153"/>
      <c r="F759" s="153"/>
      <c r="G759" s="153"/>
      <c r="H759" s="152"/>
      <c r="I759" s="180"/>
      <c r="J759" s="180"/>
      <c r="K759" s="147"/>
      <c r="L759" s="147"/>
      <c r="M759" s="147"/>
      <c r="N759" s="147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153"/>
      <c r="F760" s="153"/>
      <c r="G760" s="153"/>
      <c r="H760" s="152"/>
      <c r="I760" s="180"/>
      <c r="J760" s="180"/>
      <c r="K760" s="147"/>
      <c r="L760" s="147"/>
      <c r="M760" s="147"/>
      <c r="N760" s="147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153"/>
      <c r="F761" s="153"/>
      <c r="G761" s="153"/>
      <c r="H761" s="152"/>
      <c r="I761" s="180"/>
      <c r="J761" s="180"/>
      <c r="K761" s="147"/>
      <c r="L761" s="147"/>
      <c r="M761" s="147"/>
      <c r="N761" s="147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153"/>
      <c r="F762" s="153"/>
      <c r="G762" s="153"/>
      <c r="H762" s="152"/>
      <c r="I762" s="180"/>
      <c r="J762" s="180"/>
      <c r="K762" s="147"/>
      <c r="L762" s="147"/>
      <c r="M762" s="147"/>
      <c r="N762" s="147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153"/>
      <c r="F763" s="153"/>
      <c r="G763" s="153"/>
      <c r="H763" s="152"/>
      <c r="I763" s="180"/>
      <c r="J763" s="180"/>
      <c r="K763" s="147"/>
      <c r="L763" s="147"/>
      <c r="M763" s="147"/>
      <c r="N763" s="147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153"/>
      <c r="F764" s="153"/>
      <c r="G764" s="153"/>
      <c r="H764" s="152"/>
      <c r="I764" s="180"/>
      <c r="J764" s="180"/>
      <c r="K764" s="147"/>
      <c r="L764" s="147"/>
      <c r="M764" s="147"/>
      <c r="N764" s="147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153"/>
      <c r="F765" s="153"/>
      <c r="G765" s="153"/>
      <c r="H765" s="152"/>
      <c r="I765" s="180"/>
      <c r="J765" s="180"/>
      <c r="K765" s="147"/>
      <c r="L765" s="147"/>
      <c r="M765" s="147"/>
      <c r="N765" s="147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153"/>
      <c r="F766" s="153"/>
      <c r="G766" s="153"/>
      <c r="H766" s="152"/>
      <c r="I766" s="180"/>
      <c r="J766" s="180"/>
      <c r="K766" s="147"/>
      <c r="L766" s="147"/>
      <c r="M766" s="147"/>
      <c r="N766" s="147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153"/>
      <c r="F767" s="153"/>
      <c r="G767" s="153"/>
      <c r="H767" s="152"/>
      <c r="I767" s="180"/>
      <c r="J767" s="180"/>
      <c r="K767" s="147"/>
      <c r="L767" s="147"/>
      <c r="M767" s="147"/>
      <c r="N767" s="147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153"/>
      <c r="F768" s="153"/>
      <c r="G768" s="153"/>
      <c r="H768" s="152"/>
      <c r="I768" s="180"/>
      <c r="J768" s="180"/>
      <c r="K768" s="147"/>
      <c r="L768" s="147"/>
      <c r="M768" s="147"/>
      <c r="N768" s="147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153"/>
      <c r="F769" s="153"/>
      <c r="G769" s="153"/>
      <c r="H769" s="152"/>
      <c r="I769" s="180"/>
      <c r="J769" s="180"/>
      <c r="K769" s="147"/>
      <c r="L769" s="147"/>
      <c r="M769" s="147"/>
      <c r="N769" s="147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153"/>
      <c r="F770" s="153"/>
      <c r="G770" s="153"/>
      <c r="H770" s="152"/>
      <c r="I770" s="180"/>
      <c r="J770" s="180"/>
      <c r="K770" s="147"/>
      <c r="L770" s="147"/>
      <c r="M770" s="147"/>
      <c r="N770" s="147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153"/>
      <c r="F771" s="153"/>
      <c r="G771" s="153"/>
      <c r="H771" s="152"/>
      <c r="I771" s="180"/>
      <c r="J771" s="180"/>
      <c r="K771" s="147"/>
      <c r="L771" s="147"/>
      <c r="M771" s="147"/>
      <c r="N771" s="147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153"/>
      <c r="F772" s="153"/>
      <c r="G772" s="153"/>
      <c r="H772" s="152"/>
      <c r="I772" s="180"/>
      <c r="J772" s="180"/>
      <c r="K772" s="147"/>
      <c r="L772" s="147"/>
      <c r="M772" s="147"/>
      <c r="N772" s="147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153"/>
      <c r="F773" s="153"/>
      <c r="G773" s="153"/>
      <c r="H773" s="152"/>
      <c r="I773" s="180"/>
      <c r="J773" s="180"/>
      <c r="K773" s="147"/>
      <c r="L773" s="147"/>
      <c r="M773" s="147"/>
      <c r="N773" s="147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153"/>
      <c r="F774" s="153"/>
      <c r="G774" s="153"/>
      <c r="H774" s="152"/>
      <c r="I774" s="180"/>
      <c r="J774" s="180"/>
      <c r="K774" s="147"/>
      <c r="L774" s="147"/>
      <c r="M774" s="147"/>
      <c r="N774" s="147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153"/>
      <c r="F775" s="153"/>
      <c r="G775" s="153"/>
      <c r="H775" s="152"/>
      <c r="I775" s="180"/>
      <c r="J775" s="180"/>
      <c r="K775" s="147"/>
      <c r="L775" s="147"/>
      <c r="M775" s="147"/>
      <c r="N775" s="147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153"/>
      <c r="F776" s="153"/>
      <c r="G776" s="153"/>
      <c r="H776" s="152"/>
      <c r="I776" s="180"/>
      <c r="J776" s="180"/>
      <c r="K776" s="147"/>
      <c r="L776" s="147"/>
      <c r="M776" s="147"/>
      <c r="N776" s="147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153"/>
      <c r="F777" s="153"/>
      <c r="G777" s="153"/>
      <c r="H777" s="152"/>
      <c r="I777" s="180"/>
      <c r="J777" s="180"/>
      <c r="K777" s="147"/>
      <c r="L777" s="147"/>
      <c r="M777" s="147"/>
      <c r="N777" s="147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153"/>
      <c r="F778" s="153"/>
      <c r="G778" s="153"/>
      <c r="H778" s="152"/>
      <c r="I778" s="180"/>
      <c r="J778" s="180"/>
      <c r="K778" s="147"/>
      <c r="L778" s="147"/>
      <c r="M778" s="147"/>
      <c r="N778" s="147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153"/>
      <c r="F779" s="153"/>
      <c r="G779" s="153"/>
      <c r="H779" s="152"/>
      <c r="I779" s="180"/>
      <c r="J779" s="180"/>
      <c r="K779" s="147"/>
      <c r="L779" s="147"/>
      <c r="M779" s="147"/>
      <c r="N779" s="147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153"/>
      <c r="F780" s="153"/>
      <c r="G780" s="153"/>
      <c r="H780" s="152"/>
      <c r="I780" s="180"/>
      <c r="J780" s="180"/>
      <c r="K780" s="147"/>
      <c r="L780" s="147"/>
      <c r="M780" s="147"/>
      <c r="N780" s="147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153"/>
      <c r="F781" s="153"/>
      <c r="G781" s="153"/>
      <c r="H781" s="152"/>
      <c r="I781" s="180"/>
      <c r="J781" s="180"/>
      <c r="K781" s="147"/>
      <c r="L781" s="147"/>
      <c r="M781" s="147"/>
      <c r="N781" s="147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153"/>
      <c r="F782" s="153"/>
      <c r="G782" s="153"/>
      <c r="H782" s="152"/>
      <c r="I782" s="180"/>
      <c r="J782" s="180"/>
      <c r="K782" s="147"/>
      <c r="L782" s="147"/>
      <c r="M782" s="147"/>
      <c r="N782" s="147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153"/>
      <c r="F783" s="153"/>
      <c r="G783" s="153"/>
      <c r="H783" s="152"/>
      <c r="I783" s="180"/>
      <c r="J783" s="180"/>
      <c r="K783" s="147"/>
      <c r="L783" s="147"/>
      <c r="M783" s="147"/>
      <c r="N783" s="147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153"/>
      <c r="F784" s="153"/>
      <c r="G784" s="153"/>
      <c r="H784" s="152"/>
      <c r="I784" s="180"/>
      <c r="J784" s="180"/>
      <c r="K784" s="147"/>
      <c r="L784" s="147"/>
      <c r="M784" s="147"/>
      <c r="N784" s="147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153"/>
      <c r="F785" s="153"/>
      <c r="G785" s="153"/>
      <c r="H785" s="152"/>
      <c r="I785" s="180"/>
      <c r="J785" s="180"/>
      <c r="K785" s="147"/>
      <c r="L785" s="147"/>
      <c r="M785" s="147"/>
      <c r="N785" s="147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153"/>
      <c r="F786" s="153"/>
      <c r="G786" s="153"/>
      <c r="H786" s="152"/>
      <c r="I786" s="180"/>
      <c r="J786" s="180"/>
      <c r="K786" s="147"/>
      <c r="L786" s="147"/>
      <c r="M786" s="147"/>
      <c r="N786" s="147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153"/>
      <c r="F787" s="153"/>
      <c r="G787" s="153"/>
      <c r="H787" s="152"/>
      <c r="I787" s="180"/>
      <c r="J787" s="180"/>
      <c r="K787" s="147"/>
      <c r="L787" s="147"/>
      <c r="M787" s="147"/>
      <c r="N787" s="147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153"/>
      <c r="F788" s="153"/>
      <c r="G788" s="153"/>
      <c r="H788" s="152"/>
      <c r="I788" s="180"/>
      <c r="J788" s="180"/>
      <c r="K788" s="147"/>
      <c r="L788" s="147"/>
      <c r="M788" s="147"/>
      <c r="N788" s="147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153"/>
      <c r="F789" s="153"/>
      <c r="G789" s="153"/>
      <c r="H789" s="152"/>
      <c r="I789" s="180"/>
      <c r="J789" s="180"/>
      <c r="K789" s="147"/>
      <c r="L789" s="147"/>
      <c r="M789" s="147"/>
      <c r="N789" s="147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153"/>
      <c r="F790" s="153"/>
      <c r="G790" s="153"/>
      <c r="H790" s="152"/>
      <c r="I790" s="180"/>
      <c r="J790" s="180"/>
      <c r="K790" s="147"/>
      <c r="L790" s="147"/>
      <c r="M790" s="147"/>
      <c r="N790" s="147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153"/>
      <c r="F791" s="153"/>
      <c r="G791" s="153"/>
      <c r="H791" s="152"/>
      <c r="I791" s="180"/>
      <c r="J791" s="180"/>
      <c r="K791" s="147"/>
      <c r="L791" s="147"/>
      <c r="M791" s="147"/>
      <c r="N791" s="147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153"/>
      <c r="F792" s="153"/>
      <c r="G792" s="153"/>
      <c r="H792" s="152"/>
      <c r="I792" s="180"/>
      <c r="J792" s="180"/>
      <c r="K792" s="147"/>
      <c r="L792" s="147"/>
      <c r="M792" s="147"/>
      <c r="N792" s="147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153"/>
      <c r="F793" s="153"/>
      <c r="G793" s="153"/>
      <c r="H793" s="152"/>
      <c r="I793" s="180"/>
      <c r="J793" s="180"/>
      <c r="K793" s="147"/>
      <c r="L793" s="147"/>
      <c r="M793" s="147"/>
      <c r="N793" s="147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153"/>
      <c r="F794" s="153"/>
      <c r="G794" s="153"/>
      <c r="H794" s="152"/>
      <c r="I794" s="180"/>
      <c r="J794" s="180"/>
      <c r="K794" s="147"/>
      <c r="L794" s="147"/>
      <c r="M794" s="147"/>
      <c r="N794" s="147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153"/>
      <c r="F795" s="153"/>
      <c r="G795" s="153"/>
      <c r="H795" s="152"/>
      <c r="I795" s="180"/>
      <c r="J795" s="180"/>
      <c r="K795" s="147"/>
      <c r="L795" s="147"/>
      <c r="M795" s="147"/>
      <c r="N795" s="147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153"/>
      <c r="F796" s="153"/>
      <c r="G796" s="153"/>
      <c r="H796" s="152"/>
      <c r="I796" s="180"/>
      <c r="J796" s="180"/>
      <c r="K796" s="147"/>
      <c r="L796" s="147"/>
      <c r="M796" s="147"/>
      <c r="N796" s="147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153"/>
      <c r="F797" s="153"/>
      <c r="G797" s="153"/>
      <c r="H797" s="152"/>
      <c r="I797" s="180"/>
      <c r="J797" s="180"/>
      <c r="K797" s="147"/>
      <c r="L797" s="147"/>
      <c r="M797" s="147"/>
      <c r="N797" s="147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153"/>
      <c r="F798" s="153"/>
      <c r="G798" s="153"/>
      <c r="H798" s="152"/>
      <c r="I798" s="180"/>
      <c r="J798" s="180"/>
      <c r="K798" s="147"/>
      <c r="L798" s="147"/>
      <c r="M798" s="147"/>
      <c r="N798" s="147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153"/>
      <c r="F799" s="153"/>
      <c r="G799" s="153"/>
      <c r="H799" s="152"/>
      <c r="I799" s="180"/>
      <c r="J799" s="180"/>
      <c r="K799" s="147"/>
      <c r="L799" s="147"/>
      <c r="M799" s="147"/>
      <c r="N799" s="147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153"/>
      <c r="F800" s="153"/>
      <c r="G800" s="153"/>
      <c r="H800" s="152"/>
      <c r="I800" s="180"/>
      <c r="J800" s="180"/>
      <c r="K800" s="147"/>
      <c r="L800" s="147"/>
      <c r="M800" s="147"/>
      <c r="N800" s="147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153"/>
      <c r="F801" s="153"/>
      <c r="G801" s="153"/>
      <c r="H801" s="152"/>
      <c r="I801" s="180"/>
      <c r="J801" s="180"/>
      <c r="K801" s="147"/>
      <c r="L801" s="147"/>
      <c r="M801" s="147"/>
      <c r="N801" s="147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153"/>
      <c r="F802" s="153"/>
      <c r="G802" s="153"/>
      <c r="H802" s="152"/>
      <c r="I802" s="180"/>
      <c r="J802" s="180"/>
      <c r="K802" s="147"/>
      <c r="L802" s="147"/>
      <c r="M802" s="147"/>
      <c r="N802" s="147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153"/>
      <c r="F803" s="153"/>
      <c r="G803" s="153"/>
      <c r="H803" s="152"/>
      <c r="I803" s="180"/>
      <c r="J803" s="180"/>
      <c r="K803" s="147"/>
      <c r="L803" s="147"/>
      <c r="M803" s="147"/>
      <c r="N803" s="147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153"/>
      <c r="F804" s="153"/>
      <c r="G804" s="153"/>
      <c r="H804" s="152"/>
      <c r="I804" s="180"/>
      <c r="J804" s="180"/>
      <c r="K804" s="147"/>
      <c r="L804" s="147"/>
      <c r="M804" s="147"/>
      <c r="N804" s="147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153"/>
      <c r="F805" s="153"/>
      <c r="G805" s="153"/>
      <c r="H805" s="152"/>
      <c r="I805" s="180"/>
      <c r="J805" s="180"/>
      <c r="K805" s="147"/>
      <c r="L805" s="147"/>
      <c r="M805" s="147"/>
      <c r="N805" s="147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153"/>
      <c r="F806" s="153"/>
      <c r="G806" s="153"/>
      <c r="H806" s="152"/>
      <c r="I806" s="180"/>
      <c r="J806" s="180"/>
      <c r="K806" s="147"/>
      <c r="L806" s="147"/>
      <c r="M806" s="147"/>
      <c r="N806" s="147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153"/>
      <c r="F807" s="153"/>
      <c r="G807" s="153"/>
      <c r="H807" s="152"/>
      <c r="I807" s="180"/>
      <c r="J807" s="180"/>
      <c r="K807" s="147"/>
      <c r="L807" s="147"/>
      <c r="M807" s="147"/>
      <c r="N807" s="147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153"/>
      <c r="F808" s="153"/>
      <c r="G808" s="153"/>
      <c r="H808" s="152"/>
      <c r="I808" s="180"/>
      <c r="J808" s="180"/>
      <c r="K808" s="147"/>
      <c r="L808" s="147"/>
      <c r="M808" s="147"/>
      <c r="N808" s="147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153"/>
      <c r="F809" s="153"/>
      <c r="G809" s="153"/>
      <c r="H809" s="152"/>
      <c r="I809" s="180"/>
      <c r="J809" s="180"/>
      <c r="K809" s="147"/>
      <c r="L809" s="147"/>
      <c r="M809" s="147"/>
      <c r="N809" s="147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153"/>
      <c r="F810" s="153"/>
      <c r="G810" s="153"/>
      <c r="H810" s="152"/>
      <c r="I810" s="180"/>
      <c r="J810" s="180"/>
      <c r="K810" s="147"/>
      <c r="L810" s="147"/>
      <c r="M810" s="147"/>
      <c r="N810" s="147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153"/>
      <c r="F811" s="153"/>
      <c r="G811" s="153"/>
      <c r="H811" s="152"/>
      <c r="I811" s="180"/>
      <c r="J811" s="180"/>
      <c r="K811" s="147"/>
      <c r="L811" s="147"/>
      <c r="M811" s="147"/>
      <c r="N811" s="147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153"/>
      <c r="F812" s="153"/>
      <c r="G812" s="153"/>
      <c r="H812" s="152"/>
      <c r="I812" s="180"/>
      <c r="J812" s="180"/>
      <c r="K812" s="147"/>
      <c r="L812" s="147"/>
      <c r="M812" s="147"/>
      <c r="N812" s="147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153"/>
      <c r="F813" s="153"/>
      <c r="G813" s="153"/>
      <c r="H813" s="152"/>
      <c r="I813" s="180"/>
      <c r="J813" s="180"/>
      <c r="K813" s="147"/>
      <c r="L813" s="147"/>
      <c r="M813" s="147"/>
      <c r="N813" s="147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153"/>
      <c r="F814" s="153"/>
      <c r="G814" s="153"/>
      <c r="H814" s="152"/>
      <c r="I814" s="180"/>
      <c r="J814" s="180"/>
      <c r="K814" s="147"/>
      <c r="L814" s="147"/>
      <c r="M814" s="147"/>
      <c r="N814" s="147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153"/>
      <c r="F815" s="153"/>
      <c r="G815" s="153"/>
      <c r="H815" s="152"/>
      <c r="I815" s="180"/>
      <c r="J815" s="180"/>
      <c r="K815" s="147"/>
      <c r="L815" s="147"/>
      <c r="M815" s="147"/>
      <c r="N815" s="147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153"/>
      <c r="F816" s="153"/>
      <c r="G816" s="153"/>
      <c r="H816" s="152"/>
      <c r="I816" s="180"/>
      <c r="J816" s="180"/>
      <c r="K816" s="147"/>
      <c r="L816" s="147"/>
      <c r="M816" s="147"/>
      <c r="N816" s="147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153"/>
      <c r="F817" s="153"/>
      <c r="G817" s="153"/>
      <c r="H817" s="152"/>
      <c r="I817" s="180"/>
      <c r="J817" s="180"/>
      <c r="K817" s="147"/>
      <c r="L817" s="147"/>
      <c r="M817" s="147"/>
      <c r="N817" s="147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153"/>
      <c r="F818" s="153"/>
      <c r="G818" s="153"/>
      <c r="H818" s="152"/>
      <c r="I818" s="180"/>
      <c r="J818" s="180"/>
      <c r="K818" s="147"/>
      <c r="L818" s="147"/>
      <c r="M818" s="147"/>
      <c r="N818" s="147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153"/>
      <c r="F819" s="153"/>
      <c r="G819" s="153"/>
      <c r="H819" s="152"/>
      <c r="I819" s="180"/>
      <c r="J819" s="180"/>
      <c r="K819" s="147"/>
      <c r="L819" s="147"/>
      <c r="M819" s="147"/>
      <c r="N819" s="147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153"/>
      <c r="F820" s="153"/>
      <c r="G820" s="153"/>
      <c r="H820" s="152"/>
      <c r="I820" s="180"/>
      <c r="J820" s="180"/>
      <c r="K820" s="147"/>
      <c r="L820" s="147"/>
      <c r="M820" s="147"/>
      <c r="N820" s="147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153"/>
      <c r="F821" s="153"/>
      <c r="G821" s="153"/>
      <c r="H821" s="152"/>
      <c r="I821" s="180"/>
      <c r="J821" s="180"/>
      <c r="K821" s="147"/>
      <c r="L821" s="147"/>
      <c r="M821" s="147"/>
      <c r="N821" s="147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153"/>
      <c r="F822" s="153"/>
      <c r="G822" s="153"/>
      <c r="H822" s="152"/>
      <c r="I822" s="180"/>
      <c r="J822" s="180"/>
      <c r="K822" s="147"/>
      <c r="L822" s="147"/>
      <c r="M822" s="147"/>
      <c r="N822" s="147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153"/>
      <c r="F823" s="153"/>
      <c r="G823" s="153"/>
      <c r="H823" s="152"/>
      <c r="I823" s="180"/>
      <c r="J823" s="180"/>
      <c r="K823" s="147"/>
      <c r="L823" s="147"/>
      <c r="M823" s="147"/>
      <c r="N823" s="147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153"/>
      <c r="F824" s="153"/>
      <c r="G824" s="153"/>
      <c r="H824" s="152"/>
      <c r="I824" s="180"/>
      <c r="J824" s="180"/>
      <c r="K824" s="147"/>
      <c r="L824" s="147"/>
      <c r="M824" s="147"/>
      <c r="N824" s="147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153"/>
      <c r="F825" s="153"/>
      <c r="G825" s="153"/>
      <c r="H825" s="152"/>
      <c r="I825" s="180"/>
      <c r="J825" s="180"/>
      <c r="K825" s="147"/>
      <c r="L825" s="147"/>
      <c r="M825" s="147"/>
      <c r="N825" s="147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153"/>
      <c r="F826" s="153"/>
      <c r="G826" s="153"/>
      <c r="H826" s="152"/>
      <c r="I826" s="180"/>
      <c r="J826" s="180"/>
      <c r="K826" s="147"/>
      <c r="L826" s="147"/>
      <c r="M826" s="147"/>
      <c r="N826" s="147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153"/>
      <c r="F827" s="153"/>
      <c r="G827" s="153"/>
      <c r="H827" s="152"/>
      <c r="I827" s="180"/>
      <c r="J827" s="180"/>
      <c r="K827" s="147"/>
      <c r="L827" s="147"/>
      <c r="M827" s="147"/>
      <c r="N827" s="147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153"/>
      <c r="F828" s="153"/>
      <c r="G828" s="153"/>
      <c r="H828" s="152"/>
      <c r="I828" s="180"/>
      <c r="J828" s="180"/>
      <c r="K828" s="147"/>
      <c r="L828" s="147"/>
      <c r="M828" s="147"/>
      <c r="N828" s="147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153"/>
      <c r="F829" s="153"/>
      <c r="G829" s="153"/>
      <c r="H829" s="152"/>
      <c r="I829" s="180"/>
      <c r="J829" s="180"/>
      <c r="K829" s="147"/>
      <c r="L829" s="147"/>
      <c r="M829" s="147"/>
      <c r="N829" s="147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153"/>
      <c r="F830" s="153"/>
      <c r="G830" s="153"/>
      <c r="H830" s="152"/>
      <c r="I830" s="180"/>
      <c r="J830" s="180"/>
      <c r="K830" s="147"/>
      <c r="L830" s="147"/>
      <c r="M830" s="147"/>
      <c r="N830" s="147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153"/>
      <c r="F831" s="153"/>
      <c r="G831" s="153"/>
      <c r="H831" s="152"/>
      <c r="I831" s="180"/>
      <c r="J831" s="180"/>
      <c r="K831" s="147"/>
      <c r="L831" s="147"/>
      <c r="M831" s="147"/>
      <c r="N831" s="147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153"/>
      <c r="F832" s="153"/>
      <c r="G832" s="153"/>
      <c r="H832" s="152"/>
      <c r="I832" s="180"/>
      <c r="J832" s="180"/>
      <c r="K832" s="147"/>
      <c r="L832" s="147"/>
      <c r="M832" s="147"/>
      <c r="N832" s="147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153"/>
      <c r="F833" s="153"/>
      <c r="G833" s="153"/>
      <c r="H833" s="152"/>
      <c r="I833" s="180"/>
      <c r="J833" s="180"/>
      <c r="K833" s="147"/>
      <c r="L833" s="147"/>
      <c r="M833" s="147"/>
      <c r="N833" s="147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153"/>
      <c r="F834" s="153"/>
      <c r="G834" s="153"/>
      <c r="H834" s="152"/>
      <c r="I834" s="180"/>
      <c r="J834" s="180"/>
      <c r="K834" s="147"/>
      <c r="L834" s="147"/>
      <c r="M834" s="147"/>
      <c r="N834" s="147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153"/>
      <c r="F835" s="153"/>
      <c r="G835" s="153"/>
      <c r="H835" s="152"/>
      <c r="I835" s="180"/>
      <c r="J835" s="180"/>
      <c r="K835" s="147"/>
      <c r="L835" s="147"/>
      <c r="M835" s="147"/>
      <c r="N835" s="147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153"/>
      <c r="F836" s="153"/>
      <c r="G836" s="153"/>
      <c r="H836" s="152"/>
      <c r="I836" s="180"/>
      <c r="J836" s="180"/>
      <c r="K836" s="147"/>
      <c r="L836" s="147"/>
      <c r="M836" s="147"/>
      <c r="N836" s="147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153"/>
      <c r="F837" s="153"/>
      <c r="G837" s="153"/>
      <c r="H837" s="152"/>
      <c r="I837" s="180"/>
      <c r="J837" s="180"/>
      <c r="K837" s="147"/>
      <c r="L837" s="147"/>
      <c r="M837" s="147"/>
      <c r="N837" s="147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153"/>
      <c r="F838" s="153"/>
      <c r="G838" s="153"/>
      <c r="H838" s="152"/>
      <c r="I838" s="180"/>
      <c r="J838" s="180"/>
      <c r="K838" s="147"/>
      <c r="L838" s="147"/>
      <c r="M838" s="147"/>
      <c r="N838" s="147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153"/>
      <c r="F839" s="153"/>
      <c r="G839" s="153"/>
      <c r="H839" s="152"/>
      <c r="I839" s="180"/>
      <c r="J839" s="180"/>
      <c r="K839" s="147"/>
      <c r="L839" s="147"/>
      <c r="M839" s="147"/>
      <c r="N839" s="147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153"/>
      <c r="F840" s="153"/>
      <c r="G840" s="153"/>
      <c r="H840" s="152"/>
      <c r="I840" s="180"/>
      <c r="J840" s="180"/>
      <c r="K840" s="147"/>
      <c r="L840" s="147"/>
      <c r="M840" s="147"/>
      <c r="N840" s="147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153"/>
      <c r="F841" s="153"/>
      <c r="G841" s="153"/>
      <c r="H841" s="152"/>
      <c r="I841" s="180"/>
      <c r="J841" s="180"/>
      <c r="K841" s="147"/>
      <c r="L841" s="147"/>
      <c r="M841" s="147"/>
      <c r="N841" s="147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153"/>
      <c r="F842" s="153"/>
      <c r="G842" s="153"/>
      <c r="H842" s="152"/>
      <c r="I842" s="180"/>
      <c r="J842" s="180"/>
      <c r="K842" s="147"/>
      <c r="L842" s="147"/>
      <c r="M842" s="147"/>
      <c r="N842" s="147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153"/>
      <c r="F843" s="153"/>
      <c r="G843" s="153"/>
      <c r="H843" s="152"/>
      <c r="I843" s="180"/>
      <c r="J843" s="180"/>
      <c r="K843" s="147"/>
      <c r="L843" s="147"/>
      <c r="M843" s="147"/>
      <c r="N843" s="147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153"/>
      <c r="F844" s="153"/>
      <c r="G844" s="153"/>
      <c r="H844" s="152"/>
      <c r="I844" s="180"/>
      <c r="J844" s="180"/>
      <c r="K844" s="147"/>
      <c r="L844" s="147"/>
      <c r="M844" s="147"/>
      <c r="N844" s="147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153"/>
      <c r="F845" s="153"/>
      <c r="G845" s="153"/>
      <c r="H845" s="152"/>
      <c r="I845" s="180"/>
      <c r="J845" s="180"/>
      <c r="K845" s="147"/>
      <c r="L845" s="147"/>
      <c r="M845" s="147"/>
      <c r="N845" s="147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153"/>
      <c r="F846" s="153"/>
      <c r="G846" s="153"/>
      <c r="H846" s="152"/>
      <c r="I846" s="180"/>
      <c r="J846" s="180"/>
      <c r="K846" s="147"/>
      <c r="L846" s="147"/>
      <c r="M846" s="147"/>
      <c r="N846" s="147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153"/>
      <c r="F847" s="153"/>
      <c r="G847" s="153"/>
      <c r="H847" s="152"/>
      <c r="I847" s="180"/>
      <c r="J847" s="180"/>
      <c r="K847" s="147"/>
      <c r="L847" s="147"/>
      <c r="M847" s="147"/>
      <c r="N847" s="147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153"/>
      <c r="F848" s="153"/>
      <c r="G848" s="153"/>
      <c r="H848" s="152"/>
      <c r="I848" s="180"/>
      <c r="J848" s="180"/>
      <c r="K848" s="147"/>
      <c r="L848" s="147"/>
      <c r="M848" s="147"/>
      <c r="N848" s="147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153"/>
      <c r="F849" s="153"/>
      <c r="G849" s="153"/>
      <c r="H849" s="152"/>
      <c r="I849" s="180"/>
      <c r="J849" s="180"/>
      <c r="K849" s="147"/>
      <c r="L849" s="147"/>
      <c r="M849" s="147"/>
      <c r="N849" s="147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153"/>
      <c r="F850" s="153"/>
      <c r="G850" s="153"/>
      <c r="H850" s="152"/>
      <c r="I850" s="180"/>
      <c r="J850" s="180"/>
      <c r="K850" s="147"/>
      <c r="L850" s="147"/>
      <c r="M850" s="147"/>
      <c r="N850" s="147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153"/>
      <c r="F851" s="153"/>
      <c r="G851" s="153"/>
      <c r="H851" s="152"/>
      <c r="I851" s="180"/>
      <c r="J851" s="180"/>
      <c r="K851" s="147"/>
      <c r="L851" s="147"/>
      <c r="M851" s="147"/>
      <c r="N851" s="147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153"/>
      <c r="F852" s="153"/>
      <c r="G852" s="153"/>
      <c r="H852" s="152"/>
      <c r="I852" s="180"/>
      <c r="J852" s="180"/>
      <c r="K852" s="147"/>
      <c r="L852" s="147"/>
      <c r="M852" s="147"/>
      <c r="N852" s="147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153"/>
      <c r="F853" s="153"/>
      <c r="G853" s="153"/>
      <c r="H853" s="152"/>
      <c r="I853" s="180"/>
      <c r="J853" s="180"/>
      <c r="K853" s="147"/>
      <c r="L853" s="147"/>
      <c r="M853" s="147"/>
      <c r="N853" s="147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153"/>
      <c r="F854" s="153"/>
      <c r="G854" s="153"/>
      <c r="H854" s="152"/>
      <c r="I854" s="180"/>
      <c r="J854" s="180"/>
      <c r="K854" s="147"/>
      <c r="L854" s="147"/>
      <c r="M854" s="147"/>
      <c r="N854" s="147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153"/>
      <c r="F855" s="153"/>
      <c r="G855" s="153"/>
      <c r="H855" s="152"/>
      <c r="I855" s="180"/>
      <c r="J855" s="180"/>
      <c r="K855" s="147"/>
      <c r="L855" s="147"/>
      <c r="M855" s="147"/>
      <c r="N855" s="147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153"/>
      <c r="F856" s="153"/>
      <c r="G856" s="153"/>
      <c r="H856" s="152"/>
      <c r="I856" s="180"/>
      <c r="J856" s="180"/>
      <c r="K856" s="147"/>
      <c r="L856" s="147"/>
      <c r="M856" s="147"/>
      <c r="N856" s="147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153"/>
      <c r="F857" s="153"/>
      <c r="G857" s="153"/>
      <c r="H857" s="152"/>
      <c r="I857" s="180"/>
      <c r="J857" s="180"/>
      <c r="K857" s="147"/>
      <c r="L857" s="147"/>
      <c r="M857" s="147"/>
      <c r="N857" s="147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153"/>
      <c r="F858" s="153"/>
      <c r="G858" s="153"/>
      <c r="H858" s="152"/>
      <c r="I858" s="180"/>
      <c r="J858" s="180"/>
      <c r="K858" s="147"/>
      <c r="L858" s="147"/>
      <c r="M858" s="147"/>
      <c r="N858" s="147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153"/>
      <c r="F859" s="153"/>
      <c r="G859" s="153"/>
      <c r="H859" s="152"/>
      <c r="I859" s="180"/>
      <c r="J859" s="180"/>
      <c r="K859" s="147"/>
      <c r="L859" s="147"/>
      <c r="M859" s="147"/>
      <c r="N859" s="147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153"/>
      <c r="F860" s="153"/>
      <c r="G860" s="153"/>
      <c r="H860" s="152"/>
      <c r="I860" s="180"/>
      <c r="J860" s="180"/>
      <c r="K860" s="147"/>
      <c r="L860" s="147"/>
      <c r="M860" s="147"/>
      <c r="N860" s="147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153"/>
      <c r="F861" s="153"/>
      <c r="G861" s="153"/>
      <c r="H861" s="152"/>
      <c r="I861" s="180"/>
      <c r="J861" s="180"/>
      <c r="K861" s="147"/>
      <c r="L861" s="147"/>
      <c r="M861" s="147"/>
      <c r="N861" s="147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153"/>
      <c r="F862" s="153"/>
      <c r="G862" s="153"/>
      <c r="H862" s="152"/>
      <c r="I862" s="180"/>
      <c r="J862" s="180"/>
      <c r="K862" s="147"/>
      <c r="L862" s="147"/>
      <c r="M862" s="147"/>
      <c r="N862" s="147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153"/>
      <c r="F863" s="153"/>
      <c r="G863" s="153"/>
      <c r="H863" s="152"/>
      <c r="I863" s="180"/>
      <c r="J863" s="180"/>
      <c r="K863" s="147"/>
      <c r="L863" s="147"/>
      <c r="M863" s="147"/>
      <c r="N863" s="147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153"/>
      <c r="F864" s="153"/>
      <c r="G864" s="153"/>
      <c r="H864" s="152"/>
      <c r="I864" s="180"/>
      <c r="J864" s="180"/>
      <c r="K864" s="147"/>
      <c r="L864" s="147"/>
      <c r="M864" s="147"/>
      <c r="N864" s="147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153"/>
      <c r="F865" s="153"/>
      <c r="G865" s="153"/>
      <c r="H865" s="152"/>
      <c r="I865" s="180"/>
      <c r="J865" s="180"/>
      <c r="K865" s="147"/>
      <c r="L865" s="147"/>
      <c r="M865" s="147"/>
      <c r="N865" s="147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153"/>
      <c r="F866" s="153"/>
      <c r="G866" s="153"/>
      <c r="H866" s="152"/>
      <c r="I866" s="180"/>
      <c r="J866" s="180"/>
      <c r="K866" s="147"/>
      <c r="L866" s="147"/>
      <c r="M866" s="147"/>
      <c r="N866" s="147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153"/>
      <c r="F867" s="153"/>
      <c r="G867" s="153"/>
      <c r="H867" s="152"/>
      <c r="I867" s="180"/>
      <c r="J867" s="180"/>
      <c r="K867" s="147"/>
      <c r="L867" s="147"/>
      <c r="M867" s="147"/>
      <c r="N867" s="147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153"/>
      <c r="F868" s="153"/>
      <c r="G868" s="153"/>
      <c r="H868" s="152"/>
      <c r="I868" s="180"/>
      <c r="J868" s="180"/>
      <c r="K868" s="147"/>
      <c r="L868" s="147"/>
      <c r="M868" s="147"/>
      <c r="N868" s="147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153"/>
      <c r="F869" s="153"/>
      <c r="G869" s="153"/>
      <c r="H869" s="152"/>
      <c r="I869" s="180"/>
      <c r="J869" s="180"/>
      <c r="K869" s="147"/>
      <c r="L869" s="147"/>
      <c r="M869" s="147"/>
      <c r="N869" s="147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153"/>
      <c r="F870" s="153"/>
      <c r="G870" s="153"/>
      <c r="H870" s="152"/>
      <c r="I870" s="180"/>
      <c r="J870" s="180"/>
      <c r="K870" s="147"/>
      <c r="L870" s="147"/>
      <c r="M870" s="147"/>
      <c r="N870" s="147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153"/>
      <c r="F871" s="153"/>
      <c r="G871" s="153"/>
      <c r="H871" s="152"/>
      <c r="I871" s="180"/>
      <c r="J871" s="180"/>
      <c r="K871" s="147"/>
      <c r="L871" s="147"/>
      <c r="M871" s="147"/>
      <c r="N871" s="147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153"/>
      <c r="F872" s="153"/>
      <c r="G872" s="153"/>
      <c r="H872" s="152"/>
      <c r="I872" s="180"/>
      <c r="J872" s="180"/>
      <c r="K872" s="147"/>
      <c r="L872" s="147"/>
      <c r="M872" s="147"/>
      <c r="N872" s="147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153"/>
      <c r="F873" s="153"/>
      <c r="G873" s="153"/>
      <c r="H873" s="152"/>
      <c r="I873" s="180"/>
      <c r="J873" s="180"/>
      <c r="K873" s="147"/>
      <c r="L873" s="147"/>
      <c r="M873" s="147"/>
      <c r="N873" s="147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153"/>
      <c r="F874" s="153"/>
      <c r="G874" s="153"/>
      <c r="H874" s="152"/>
      <c r="I874" s="180"/>
      <c r="J874" s="180"/>
      <c r="K874" s="147"/>
      <c r="L874" s="147"/>
      <c r="M874" s="147"/>
      <c r="N874" s="147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153"/>
      <c r="F875" s="153"/>
      <c r="G875" s="153"/>
      <c r="H875" s="152"/>
      <c r="I875" s="180"/>
      <c r="J875" s="180"/>
      <c r="K875" s="147"/>
      <c r="L875" s="147"/>
      <c r="M875" s="147"/>
      <c r="N875" s="147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153"/>
      <c r="F876" s="153"/>
      <c r="G876" s="153"/>
      <c r="H876" s="152"/>
      <c r="I876" s="180"/>
      <c r="J876" s="180"/>
      <c r="K876" s="147"/>
      <c r="L876" s="147"/>
      <c r="M876" s="147"/>
      <c r="N876" s="147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153"/>
      <c r="F877" s="153"/>
      <c r="G877" s="153"/>
      <c r="H877" s="152"/>
      <c r="I877" s="180"/>
      <c r="J877" s="180"/>
      <c r="K877" s="147"/>
      <c r="L877" s="147"/>
      <c r="M877" s="147"/>
      <c r="N877" s="147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153"/>
      <c r="F878" s="153"/>
      <c r="G878" s="153"/>
      <c r="H878" s="152"/>
      <c r="I878" s="180"/>
      <c r="J878" s="180"/>
      <c r="K878" s="147"/>
      <c r="L878" s="147"/>
      <c r="M878" s="147"/>
      <c r="N878" s="147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153"/>
      <c r="F879" s="153"/>
      <c r="G879" s="153"/>
      <c r="H879" s="152"/>
      <c r="I879" s="180"/>
      <c r="J879" s="180"/>
      <c r="K879" s="147"/>
      <c r="L879" s="147"/>
      <c r="M879" s="147"/>
      <c r="N879" s="147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153"/>
      <c r="F880" s="153"/>
      <c r="G880" s="153"/>
      <c r="H880" s="152"/>
      <c r="I880" s="180"/>
      <c r="J880" s="180"/>
      <c r="K880" s="147"/>
      <c r="L880" s="147"/>
      <c r="M880" s="147"/>
      <c r="N880" s="147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153"/>
      <c r="F881" s="153"/>
      <c r="G881" s="153"/>
      <c r="H881" s="152"/>
      <c r="I881" s="180"/>
      <c r="J881" s="180"/>
      <c r="K881" s="147"/>
      <c r="L881" s="147"/>
      <c r="M881" s="147"/>
      <c r="N881" s="147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153"/>
      <c r="F882" s="153"/>
      <c r="G882" s="153"/>
      <c r="H882" s="152"/>
      <c r="I882" s="180"/>
      <c r="J882" s="180"/>
      <c r="K882" s="147"/>
      <c r="L882" s="147"/>
      <c r="M882" s="147"/>
      <c r="N882" s="147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153"/>
      <c r="F883" s="153"/>
      <c r="G883" s="153"/>
      <c r="H883" s="152"/>
      <c r="I883" s="180"/>
      <c r="J883" s="180"/>
      <c r="K883" s="147"/>
      <c r="L883" s="147"/>
      <c r="M883" s="147"/>
      <c r="N883" s="147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153"/>
      <c r="F884" s="153"/>
      <c r="G884" s="153"/>
      <c r="H884" s="152"/>
      <c r="I884" s="180"/>
      <c r="J884" s="180"/>
      <c r="K884" s="147"/>
      <c r="L884" s="147"/>
      <c r="M884" s="147"/>
      <c r="N884" s="147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153"/>
      <c r="F885" s="153"/>
      <c r="G885" s="153"/>
      <c r="H885" s="152"/>
      <c r="I885" s="180"/>
      <c r="J885" s="180"/>
      <c r="K885" s="147"/>
      <c r="L885" s="147"/>
      <c r="M885" s="147"/>
      <c r="N885" s="147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153"/>
      <c r="F886" s="153"/>
      <c r="G886" s="153"/>
      <c r="H886" s="152"/>
      <c r="I886" s="180"/>
      <c r="J886" s="180"/>
      <c r="K886" s="147"/>
      <c r="L886" s="147"/>
      <c r="M886" s="147"/>
      <c r="N886" s="147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153"/>
      <c r="F887" s="153"/>
      <c r="G887" s="153"/>
      <c r="H887" s="152"/>
      <c r="I887" s="180"/>
      <c r="J887" s="180"/>
      <c r="K887" s="147"/>
      <c r="L887" s="147"/>
      <c r="M887" s="147"/>
      <c r="N887" s="147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153"/>
      <c r="F888" s="153"/>
      <c r="G888" s="153"/>
      <c r="H888" s="152"/>
      <c r="I888" s="180"/>
      <c r="J888" s="180"/>
      <c r="K888" s="147"/>
      <c r="L888" s="147"/>
      <c r="M888" s="147"/>
      <c r="N888" s="147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153"/>
      <c r="F889" s="153"/>
      <c r="G889" s="153"/>
      <c r="H889" s="152"/>
      <c r="I889" s="180"/>
      <c r="J889" s="180"/>
      <c r="K889" s="147"/>
      <c r="L889" s="147"/>
      <c r="M889" s="147"/>
      <c r="N889" s="147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153"/>
      <c r="F890" s="153"/>
      <c r="G890" s="153"/>
      <c r="H890" s="152"/>
      <c r="I890" s="180"/>
      <c r="J890" s="180"/>
      <c r="K890" s="147"/>
      <c r="L890" s="147"/>
      <c r="M890" s="147"/>
      <c r="N890" s="147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153"/>
      <c r="F891" s="153"/>
      <c r="G891" s="153"/>
      <c r="H891" s="152"/>
      <c r="I891" s="180"/>
      <c r="J891" s="180"/>
      <c r="K891" s="147"/>
      <c r="L891" s="147"/>
      <c r="M891" s="147"/>
      <c r="N891" s="147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153"/>
      <c r="F892" s="153"/>
      <c r="G892" s="153"/>
      <c r="H892" s="152"/>
      <c r="I892" s="180"/>
      <c r="J892" s="180"/>
      <c r="K892" s="147"/>
      <c r="L892" s="147"/>
      <c r="M892" s="147"/>
      <c r="N892" s="147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153"/>
      <c r="F893" s="153"/>
      <c r="G893" s="153"/>
      <c r="H893" s="152"/>
      <c r="I893" s="180"/>
      <c r="J893" s="180"/>
      <c r="K893" s="147"/>
      <c r="L893" s="147"/>
      <c r="M893" s="147"/>
      <c r="N893" s="147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153"/>
      <c r="F894" s="153"/>
      <c r="G894" s="153"/>
      <c r="H894" s="152"/>
      <c r="I894" s="180"/>
      <c r="J894" s="180"/>
      <c r="K894" s="147"/>
      <c r="L894" s="147"/>
      <c r="M894" s="147"/>
      <c r="N894" s="147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153"/>
      <c r="F895" s="153"/>
      <c r="G895" s="153"/>
      <c r="H895" s="152"/>
      <c r="I895" s="180"/>
      <c r="J895" s="180"/>
      <c r="K895" s="147"/>
      <c r="L895" s="147"/>
      <c r="M895" s="147"/>
      <c r="N895" s="147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153"/>
      <c r="F896" s="153"/>
      <c r="G896" s="153"/>
      <c r="H896" s="152"/>
      <c r="I896" s="180"/>
      <c r="J896" s="180"/>
      <c r="K896" s="147"/>
      <c r="L896" s="147"/>
      <c r="M896" s="147"/>
      <c r="N896" s="147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153"/>
      <c r="F897" s="153"/>
      <c r="G897" s="153"/>
      <c r="H897" s="152"/>
      <c r="I897" s="180"/>
      <c r="J897" s="180"/>
      <c r="K897" s="147"/>
      <c r="L897" s="147"/>
      <c r="M897" s="147"/>
      <c r="N897" s="147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153"/>
      <c r="F898" s="153"/>
      <c r="G898" s="153"/>
      <c r="H898" s="152"/>
      <c r="I898" s="180"/>
      <c r="J898" s="180"/>
      <c r="K898" s="147"/>
      <c r="L898" s="147"/>
      <c r="M898" s="147"/>
      <c r="N898" s="147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153"/>
      <c r="F899" s="153"/>
      <c r="G899" s="153"/>
      <c r="H899" s="152"/>
      <c r="I899" s="180"/>
      <c r="J899" s="180"/>
      <c r="K899" s="147"/>
      <c r="L899" s="147"/>
      <c r="M899" s="147"/>
      <c r="N899" s="147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153"/>
      <c r="F900" s="153"/>
      <c r="G900" s="153"/>
      <c r="H900" s="152"/>
      <c r="I900" s="180"/>
      <c r="J900" s="180"/>
      <c r="K900" s="147"/>
      <c r="L900" s="147"/>
      <c r="M900" s="147"/>
      <c r="N900" s="147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153"/>
      <c r="F901" s="153"/>
      <c r="G901" s="153"/>
      <c r="H901" s="152"/>
      <c r="I901" s="180"/>
      <c r="J901" s="180"/>
      <c r="K901" s="147"/>
      <c r="L901" s="147"/>
      <c r="M901" s="147"/>
      <c r="N901" s="147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153"/>
      <c r="F902" s="153"/>
      <c r="G902" s="153"/>
      <c r="H902" s="152"/>
      <c r="I902" s="180"/>
      <c r="J902" s="180"/>
      <c r="K902" s="147"/>
      <c r="L902" s="147"/>
      <c r="M902" s="147"/>
      <c r="N902" s="147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153"/>
      <c r="F903" s="153"/>
      <c r="G903" s="153"/>
      <c r="H903" s="152"/>
      <c r="I903" s="180"/>
      <c r="J903" s="180"/>
      <c r="K903" s="147"/>
      <c r="L903" s="147"/>
      <c r="M903" s="147"/>
      <c r="N903" s="147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153"/>
      <c r="F904" s="153"/>
      <c r="G904" s="153"/>
      <c r="H904" s="152"/>
      <c r="I904" s="180"/>
      <c r="J904" s="180"/>
      <c r="K904" s="147"/>
      <c r="L904" s="147"/>
      <c r="M904" s="147"/>
      <c r="N904" s="147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153"/>
      <c r="F905" s="153"/>
      <c r="G905" s="153"/>
      <c r="H905" s="152"/>
      <c r="I905" s="180"/>
      <c r="J905" s="180"/>
      <c r="K905" s="147"/>
      <c r="L905" s="147"/>
      <c r="M905" s="147"/>
      <c r="N905" s="147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</sheetData>
  <autoFilter ref="$A$1:$J$101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8.5"/>
    <col customWidth="1" min="3" max="3" width="17.25"/>
    <col customWidth="1" min="4" max="4" width="18.13"/>
    <col customWidth="1" min="5" max="5" width="16.88"/>
    <col customWidth="1" min="6" max="6" width="16.63"/>
    <col customWidth="1" min="7" max="7" width="16.0"/>
    <col customWidth="1" min="8" max="8" width="18.5"/>
  </cols>
  <sheetData>
    <row r="1">
      <c r="A1" s="181" t="s">
        <v>89</v>
      </c>
      <c r="B1" s="181" t="s">
        <v>870</v>
      </c>
      <c r="C1" s="181" t="s">
        <v>897</v>
      </c>
      <c r="D1" s="181" t="s">
        <v>843</v>
      </c>
      <c r="E1" s="181" t="s">
        <v>843</v>
      </c>
      <c r="F1" s="181" t="s">
        <v>843</v>
      </c>
      <c r="G1" s="181" t="s">
        <v>843</v>
      </c>
      <c r="H1" s="181" t="s">
        <v>843</v>
      </c>
    </row>
    <row r="2">
      <c r="A2" s="136" t="s">
        <v>688</v>
      </c>
      <c r="B2" s="136">
        <v>7.78893717E8</v>
      </c>
      <c r="C2" s="136" t="s">
        <v>45</v>
      </c>
      <c r="D2" s="94"/>
      <c r="E2" s="94"/>
      <c r="F2" s="94"/>
      <c r="G2" s="94"/>
      <c r="H2" s="94"/>
    </row>
    <row r="3">
      <c r="A3" s="93" t="s">
        <v>699</v>
      </c>
      <c r="B3" s="93">
        <v>7.87302115E8</v>
      </c>
      <c r="C3" s="93" t="s">
        <v>693</v>
      </c>
      <c r="D3" s="94"/>
      <c r="E3" s="94"/>
      <c r="F3" s="94"/>
      <c r="G3" s="94"/>
      <c r="H3" s="94"/>
    </row>
    <row r="4">
      <c r="A4" s="94" t="s">
        <v>117</v>
      </c>
      <c r="B4" s="94">
        <v>7.70165618E8</v>
      </c>
      <c r="C4" s="94" t="s">
        <v>45</v>
      </c>
      <c r="D4" s="94"/>
      <c r="E4" s="94"/>
      <c r="F4" s="94"/>
      <c r="G4" s="94"/>
      <c r="H4" s="94"/>
    </row>
    <row r="5">
      <c r="A5" s="109" t="s">
        <v>84</v>
      </c>
      <c r="B5" s="109">
        <v>7.70432534E8</v>
      </c>
      <c r="C5" s="109" t="s">
        <v>60</v>
      </c>
      <c r="D5" s="94"/>
      <c r="E5" s="94"/>
      <c r="F5" s="94"/>
      <c r="G5" s="94"/>
      <c r="H5" s="94"/>
    </row>
    <row r="6">
      <c r="A6" s="109" t="s">
        <v>903</v>
      </c>
      <c r="B6" s="109">
        <v>7.7631342E8</v>
      </c>
      <c r="C6" s="109" t="s">
        <v>45</v>
      </c>
      <c r="D6" s="94"/>
      <c r="E6" s="94"/>
      <c r="F6" s="94"/>
      <c r="G6" s="94"/>
      <c r="H6" s="94"/>
    </row>
    <row r="7">
      <c r="A7" s="123" t="s">
        <v>159</v>
      </c>
      <c r="B7" s="123">
        <v>7.85819584E8</v>
      </c>
      <c r="C7" s="121" t="s">
        <v>45</v>
      </c>
      <c r="D7" s="94"/>
      <c r="E7" s="94"/>
      <c r="F7" s="94"/>
      <c r="G7" s="94"/>
      <c r="H7" s="94"/>
    </row>
    <row r="8">
      <c r="A8" s="182" t="s">
        <v>161</v>
      </c>
      <c r="B8" s="119">
        <v>7.45683778E8</v>
      </c>
      <c r="C8" s="109" t="s">
        <v>906</v>
      </c>
      <c r="D8" s="94"/>
      <c r="E8" s="94"/>
      <c r="F8" s="94"/>
      <c r="G8" s="94"/>
      <c r="H8" s="94"/>
    </row>
    <row r="9">
      <c r="A9" s="93" t="s">
        <v>213</v>
      </c>
      <c r="B9" s="93">
        <v>7.857111E8</v>
      </c>
      <c r="C9" s="93" t="s">
        <v>26</v>
      </c>
      <c r="D9" s="94"/>
      <c r="E9" s="94"/>
      <c r="F9" s="94"/>
      <c r="G9" s="94"/>
      <c r="H9" s="94"/>
    </row>
    <row r="10">
      <c r="A10" s="136" t="s">
        <v>701</v>
      </c>
      <c r="B10" s="136">
        <v>7.0179788E8</v>
      </c>
      <c r="C10" s="136" t="s">
        <v>693</v>
      </c>
      <c r="D10" s="94"/>
      <c r="E10" s="94"/>
      <c r="F10" s="94"/>
      <c r="G10" s="94"/>
      <c r="H10" s="94"/>
    </row>
    <row r="11">
      <c r="A11" s="93" t="s">
        <v>725</v>
      </c>
      <c r="B11" s="93">
        <v>7.04420892E8</v>
      </c>
      <c r="C11" s="93" t="s">
        <v>727</v>
      </c>
      <c r="D11" s="94"/>
      <c r="E11" s="94"/>
      <c r="F11" s="94"/>
      <c r="G11" s="94"/>
      <c r="H11" s="94"/>
    </row>
    <row r="12">
      <c r="A12" s="109" t="s">
        <v>253</v>
      </c>
      <c r="B12" s="109">
        <v>7.41785784E8</v>
      </c>
      <c r="C12" s="109" t="s">
        <v>26</v>
      </c>
      <c r="D12" s="94"/>
      <c r="E12" s="94"/>
      <c r="F12" s="94"/>
      <c r="G12" s="94"/>
      <c r="H12" s="94"/>
    </row>
    <row r="13">
      <c r="A13" s="93" t="s">
        <v>729</v>
      </c>
      <c r="B13" s="94"/>
      <c r="C13" s="93" t="s">
        <v>234</v>
      </c>
      <c r="D13" s="94"/>
      <c r="E13" s="94"/>
      <c r="F13" s="94"/>
      <c r="G13" s="94"/>
      <c r="H13" s="94"/>
    </row>
    <row r="14">
      <c r="A14" s="121" t="s">
        <v>255</v>
      </c>
      <c r="B14" s="119">
        <v>7.67639022E8</v>
      </c>
      <c r="C14" s="121" t="s">
        <v>257</v>
      </c>
      <c r="D14" s="94"/>
      <c r="E14" s="94"/>
      <c r="F14" s="94"/>
      <c r="G14" s="94"/>
      <c r="H14" s="94"/>
    </row>
    <row r="15">
      <c r="A15" s="136" t="s">
        <v>703</v>
      </c>
      <c r="B15" s="136">
        <v>7.63028204E8</v>
      </c>
      <c r="C15" s="109" t="s">
        <v>693</v>
      </c>
      <c r="D15" s="94"/>
      <c r="E15" s="94"/>
      <c r="F15" s="94"/>
      <c r="G15" s="94"/>
      <c r="H15" s="94"/>
    </row>
    <row r="16">
      <c r="A16" s="109" t="s">
        <v>910</v>
      </c>
      <c r="B16" s="109">
        <v>7.66128742E8</v>
      </c>
      <c r="C16" s="109" t="s">
        <v>26</v>
      </c>
      <c r="D16" s="94"/>
      <c r="E16" s="94"/>
      <c r="F16" s="94"/>
      <c r="G16" s="94"/>
      <c r="H16" s="94"/>
    </row>
    <row r="17">
      <c r="A17" s="121" t="s">
        <v>269</v>
      </c>
      <c r="B17" s="119">
        <v>7.55664324E8</v>
      </c>
      <c r="C17" s="121" t="s">
        <v>26</v>
      </c>
      <c r="D17" s="94"/>
      <c r="E17" s="94"/>
      <c r="F17" s="94"/>
      <c r="G17" s="94"/>
      <c r="H17" s="94"/>
    </row>
    <row r="18">
      <c r="A18" s="93" t="s">
        <v>274</v>
      </c>
      <c r="B18" s="93">
        <v>7.08250755E8</v>
      </c>
      <c r="C18" s="93" t="s">
        <v>26</v>
      </c>
      <c r="D18" s="94"/>
      <c r="E18" s="94"/>
      <c r="F18" s="94"/>
      <c r="G18" s="94"/>
      <c r="H18" s="94"/>
    </row>
    <row r="19">
      <c r="A19" s="138" t="s">
        <v>286</v>
      </c>
      <c r="B19" s="130">
        <v>7.78350334E8</v>
      </c>
      <c r="C19" s="138" t="s">
        <v>26</v>
      </c>
      <c r="D19" s="94"/>
      <c r="E19" s="94"/>
      <c r="F19" s="94"/>
      <c r="G19" s="94"/>
      <c r="H19" s="94"/>
    </row>
    <row r="20">
      <c r="A20" s="121" t="s">
        <v>298</v>
      </c>
      <c r="B20" s="119">
        <v>7.05194015E8</v>
      </c>
      <c r="C20" s="93" t="s">
        <v>887</v>
      </c>
      <c r="D20" s="94"/>
      <c r="E20" s="94"/>
      <c r="F20" s="94"/>
      <c r="G20" s="94"/>
      <c r="H20" s="94"/>
    </row>
    <row r="21">
      <c r="A21" s="136" t="s">
        <v>299</v>
      </c>
      <c r="B21" s="136">
        <v>7.59336805E8</v>
      </c>
      <c r="C21" s="105" t="s">
        <v>911</v>
      </c>
      <c r="D21" s="94"/>
      <c r="E21" s="94"/>
      <c r="F21" s="94"/>
      <c r="G21" s="94"/>
      <c r="H21" s="94"/>
    </row>
    <row r="22">
      <c r="A22" s="94" t="s">
        <v>302</v>
      </c>
      <c r="B22" s="94">
        <v>7.7631342E8</v>
      </c>
      <c r="C22" s="94" t="s">
        <v>45</v>
      </c>
      <c r="D22" s="94"/>
      <c r="E22" s="94"/>
      <c r="F22" s="94"/>
      <c r="G22" s="94"/>
      <c r="H22" s="94"/>
    </row>
    <row r="23">
      <c r="A23" s="135" t="s">
        <v>305</v>
      </c>
      <c r="B23" s="183">
        <v>7.00865695E8</v>
      </c>
      <c r="C23" s="135" t="s">
        <v>57</v>
      </c>
      <c r="D23" s="94"/>
      <c r="E23" s="94"/>
      <c r="F23" s="94"/>
      <c r="G23" s="94"/>
      <c r="H23" s="94"/>
    </row>
    <row r="24">
      <c r="A24" s="121" t="s">
        <v>311</v>
      </c>
      <c r="B24" s="119">
        <v>7.66085588E8</v>
      </c>
      <c r="C24" s="109" t="s">
        <v>906</v>
      </c>
      <c r="D24" s="94"/>
      <c r="E24" s="94"/>
      <c r="F24" s="94"/>
      <c r="G24" s="94"/>
      <c r="H24" s="94"/>
    </row>
    <row r="25">
      <c r="A25" s="109" t="s">
        <v>889</v>
      </c>
      <c r="B25" s="109">
        <v>7.48320604E8</v>
      </c>
      <c r="C25" s="109" t="s">
        <v>912</v>
      </c>
      <c r="D25" s="94"/>
      <c r="E25" s="94"/>
      <c r="F25" s="94"/>
      <c r="G25" s="94"/>
      <c r="H25" s="94"/>
    </row>
    <row r="26">
      <c r="A26" s="136" t="s">
        <v>691</v>
      </c>
      <c r="B26" s="136">
        <v>7.56219795E8</v>
      </c>
      <c r="C26" s="136" t="s">
        <v>693</v>
      </c>
      <c r="D26" s="94"/>
      <c r="E26" s="94"/>
      <c r="F26" s="94"/>
      <c r="G26" s="94"/>
      <c r="H26" s="94"/>
    </row>
    <row r="27">
      <c r="A27" s="109" t="s">
        <v>890</v>
      </c>
      <c r="B27" s="109">
        <v>7.03073714E8</v>
      </c>
      <c r="C27" s="109" t="s">
        <v>693</v>
      </c>
      <c r="D27" s="94"/>
      <c r="E27" s="94"/>
      <c r="F27" s="94"/>
      <c r="G27" s="94"/>
      <c r="H27" s="94"/>
    </row>
    <row r="28">
      <c r="A28" s="137" t="s">
        <v>375</v>
      </c>
      <c r="B28" s="184">
        <v>7.58194649E8</v>
      </c>
      <c r="C28" s="137" t="s">
        <v>8</v>
      </c>
      <c r="D28" s="94"/>
      <c r="E28" s="94"/>
      <c r="F28" s="94"/>
      <c r="G28" s="94"/>
      <c r="H28" s="94"/>
    </row>
    <row r="29">
      <c r="A29" s="121" t="s">
        <v>397</v>
      </c>
      <c r="B29" s="119">
        <v>7.06020524E8</v>
      </c>
      <c r="C29" s="121" t="s">
        <v>45</v>
      </c>
      <c r="D29" s="94"/>
      <c r="E29" s="94"/>
      <c r="F29" s="94"/>
      <c r="G29" s="94"/>
      <c r="H29" s="94"/>
    </row>
    <row r="30">
      <c r="A30" s="121" t="s">
        <v>402</v>
      </c>
      <c r="B30" s="130">
        <v>7.46692404E8</v>
      </c>
      <c r="C30" s="121" t="s">
        <v>26</v>
      </c>
      <c r="D30" s="94"/>
      <c r="E30" s="94"/>
      <c r="F30" s="94"/>
      <c r="G30" s="94"/>
      <c r="H30" s="94"/>
    </row>
    <row r="31">
      <c r="A31" s="121" t="s">
        <v>410</v>
      </c>
      <c r="B31" s="119">
        <v>7.40270098E8</v>
      </c>
      <c r="C31" s="121" t="s">
        <v>60</v>
      </c>
      <c r="D31" s="94"/>
      <c r="E31" s="94"/>
      <c r="F31" s="94"/>
      <c r="G31" s="94"/>
      <c r="H31" s="94"/>
    </row>
    <row r="32">
      <c r="A32" s="109" t="s">
        <v>892</v>
      </c>
      <c r="B32" s="109">
        <v>7.52759375E8</v>
      </c>
      <c r="C32" s="109" t="s">
        <v>693</v>
      </c>
      <c r="D32" s="94"/>
      <c r="E32" s="94"/>
      <c r="F32" s="94"/>
      <c r="G32" s="94"/>
      <c r="H32" s="94"/>
    </row>
    <row r="33">
      <c r="A33" s="139" t="s">
        <v>447</v>
      </c>
      <c r="B33" s="185">
        <v>7.89523444E8</v>
      </c>
      <c r="C33" s="139" t="s">
        <v>8</v>
      </c>
      <c r="D33" s="94"/>
      <c r="E33" s="94"/>
      <c r="F33" s="94"/>
      <c r="G33" s="94"/>
      <c r="H33" s="94"/>
    </row>
    <row r="34">
      <c r="A34" s="109" t="s">
        <v>256</v>
      </c>
      <c r="B34" s="109">
        <v>7.56015006E8</v>
      </c>
      <c r="C34" s="109" t="s">
        <v>26</v>
      </c>
      <c r="D34" s="94"/>
      <c r="E34" s="94"/>
      <c r="F34" s="94"/>
      <c r="G34" s="94"/>
      <c r="H34" s="94"/>
    </row>
    <row r="35">
      <c r="A35" s="109" t="s">
        <v>452</v>
      </c>
      <c r="B35" s="109">
        <v>7.89744745E8</v>
      </c>
      <c r="C35" s="123" t="s">
        <v>26</v>
      </c>
      <c r="D35" s="94"/>
      <c r="E35" s="94"/>
      <c r="F35" s="94"/>
      <c r="G35" s="94"/>
      <c r="H35" s="94"/>
    </row>
    <row r="36">
      <c r="A36" s="109" t="s">
        <v>694</v>
      </c>
      <c r="B36" s="136">
        <v>7.09421704E8</v>
      </c>
      <c r="C36" s="136" t="s">
        <v>696</v>
      </c>
      <c r="D36" s="94"/>
      <c r="E36" s="94"/>
      <c r="F36" s="94"/>
      <c r="G36" s="94"/>
      <c r="H36" s="94"/>
    </row>
    <row r="37">
      <c r="A37" s="93" t="s">
        <v>914</v>
      </c>
      <c r="B37" s="94"/>
      <c r="C37" s="93" t="s">
        <v>26</v>
      </c>
      <c r="D37" s="94"/>
      <c r="E37" s="94"/>
      <c r="F37" s="94"/>
      <c r="G37" s="94"/>
      <c r="H37" s="94"/>
    </row>
    <row r="38">
      <c r="A38" s="93" t="s">
        <v>719</v>
      </c>
      <c r="B38" s="93">
        <v>7.03114687E8</v>
      </c>
      <c r="C38" s="93" t="s">
        <v>721</v>
      </c>
      <c r="D38" s="94"/>
      <c r="E38" s="94"/>
      <c r="F38" s="94"/>
      <c r="G38" s="94"/>
      <c r="H38" s="94"/>
    </row>
    <row r="39">
      <c r="A39" s="109" t="s">
        <v>697</v>
      </c>
      <c r="B39" s="109">
        <v>7.04077942E8</v>
      </c>
      <c r="C39" s="109" t="s">
        <v>693</v>
      </c>
      <c r="D39" s="94"/>
      <c r="E39" s="94"/>
      <c r="F39" s="94"/>
      <c r="G39" s="94"/>
      <c r="H39" s="94"/>
    </row>
    <row r="40">
      <c r="A40" s="139" t="s">
        <v>542</v>
      </c>
      <c r="B40" s="185">
        <v>7.71509951E8</v>
      </c>
      <c r="C40" s="139" t="s">
        <v>71</v>
      </c>
      <c r="D40" s="94"/>
      <c r="E40" s="94"/>
      <c r="F40" s="94"/>
      <c r="G40" s="94"/>
      <c r="H40" s="94"/>
    </row>
    <row r="41">
      <c r="A41" s="136" t="s">
        <v>917</v>
      </c>
      <c r="B41" s="136">
        <v>7421241.0</v>
      </c>
      <c r="C41" s="109" t="s">
        <v>693</v>
      </c>
      <c r="D41" s="94"/>
      <c r="E41" s="94"/>
      <c r="F41" s="94"/>
      <c r="G41" s="94"/>
      <c r="H41" s="94"/>
    </row>
    <row r="42">
      <c r="A42" s="136" t="s">
        <v>896</v>
      </c>
      <c r="B42" s="136">
        <v>7.42247774E8</v>
      </c>
      <c r="C42" s="136" t="s">
        <v>71</v>
      </c>
      <c r="D42" s="94"/>
      <c r="E42" s="94"/>
      <c r="F42" s="94"/>
      <c r="G42" s="94"/>
      <c r="H42" s="94"/>
    </row>
    <row r="43">
      <c r="A43" s="94" t="s">
        <v>687</v>
      </c>
      <c r="B43" s="94">
        <v>7.04108578E8</v>
      </c>
      <c r="C43" s="93" t="s">
        <v>26</v>
      </c>
      <c r="D43" s="94"/>
      <c r="E43" s="94"/>
      <c r="F43" s="94"/>
      <c r="G43" s="94"/>
      <c r="H43" s="94"/>
    </row>
    <row r="44">
      <c r="A44" s="121" t="s">
        <v>563</v>
      </c>
      <c r="B44" s="119">
        <v>7.59768473E8</v>
      </c>
      <c r="C44" s="93" t="s">
        <v>123</v>
      </c>
      <c r="D44" s="94"/>
      <c r="E44" s="94"/>
      <c r="F44" s="94"/>
      <c r="G44" s="94"/>
      <c r="H44" s="94"/>
    </row>
    <row r="45">
      <c r="A45" s="94" t="s">
        <v>567</v>
      </c>
      <c r="B45" s="186">
        <v>7.85129426E8</v>
      </c>
      <c r="C45" s="94" t="s">
        <v>408</v>
      </c>
      <c r="D45" s="94"/>
      <c r="E45" s="94"/>
      <c r="F45" s="94"/>
      <c r="G45" s="94"/>
      <c r="H45" s="94"/>
    </row>
    <row r="46">
      <c r="A46" s="93" t="s">
        <v>705</v>
      </c>
      <c r="B46" s="93">
        <v>7.71378404E8</v>
      </c>
      <c r="C46" s="93" t="s">
        <v>707</v>
      </c>
      <c r="D46" s="94"/>
      <c r="E46" s="94"/>
      <c r="F46" s="94"/>
      <c r="G46" s="94"/>
      <c r="H46" s="94"/>
    </row>
    <row r="47">
      <c r="A47" s="109" t="s">
        <v>576</v>
      </c>
      <c r="B47" s="109">
        <v>7.08773043E8</v>
      </c>
      <c r="C47" s="109" t="s">
        <v>26</v>
      </c>
      <c r="D47" s="94"/>
      <c r="E47" s="94"/>
      <c r="F47" s="94"/>
      <c r="G47" s="94"/>
      <c r="H47" s="94"/>
    </row>
    <row r="48">
      <c r="A48" s="135" t="s">
        <v>580</v>
      </c>
      <c r="B48" s="183">
        <v>7.50770914E8</v>
      </c>
      <c r="C48" s="135" t="s">
        <v>26</v>
      </c>
      <c r="D48" s="94"/>
      <c r="E48" s="94"/>
      <c r="F48" s="94"/>
      <c r="G48" s="94"/>
      <c r="H48" s="94"/>
    </row>
    <row r="49">
      <c r="A49" s="182" t="s">
        <v>606</v>
      </c>
      <c r="B49" s="119">
        <v>7.00104134E8</v>
      </c>
      <c r="C49" s="121" t="s">
        <v>45</v>
      </c>
      <c r="D49" s="94"/>
      <c r="E49" s="94"/>
      <c r="F49" s="94"/>
      <c r="G49" s="94"/>
      <c r="H49" s="94"/>
    </row>
    <row r="50">
      <c r="A50" s="137" t="s">
        <v>629</v>
      </c>
      <c r="B50" s="187">
        <v>7.64674133E8</v>
      </c>
      <c r="C50" s="137" t="s">
        <v>408</v>
      </c>
      <c r="D50" s="94"/>
      <c r="E50" s="94"/>
      <c r="F50" s="94"/>
      <c r="G50" s="94"/>
      <c r="H50" s="94"/>
    </row>
    <row r="51">
      <c r="A51" s="93" t="s">
        <v>722</v>
      </c>
      <c r="B51" s="93">
        <v>7.59778765E8</v>
      </c>
      <c r="C51" s="93" t="s">
        <v>724</v>
      </c>
      <c r="D51" s="94"/>
      <c r="E51" s="94"/>
      <c r="F51" s="94"/>
      <c r="G51" s="94"/>
      <c r="H51" s="94"/>
    </row>
    <row r="52">
      <c r="A52" s="109" t="s">
        <v>894</v>
      </c>
      <c r="B52" s="109">
        <v>7.01888577E8</v>
      </c>
      <c r="C52" s="109" t="s">
        <v>919</v>
      </c>
      <c r="D52" s="94"/>
      <c r="E52" s="94"/>
      <c r="F52" s="94"/>
      <c r="G52" s="94"/>
      <c r="H52" s="94"/>
    </row>
    <row r="53">
      <c r="A53" s="93" t="s">
        <v>715</v>
      </c>
      <c r="B53" s="93">
        <v>7.52327785E8</v>
      </c>
      <c r="C53" s="93" t="s">
        <v>717</v>
      </c>
      <c r="D53" s="94"/>
      <c r="E53" s="94"/>
      <c r="F53" s="94"/>
      <c r="G53" s="94"/>
      <c r="H53" s="94"/>
    </row>
    <row r="54">
      <c r="A54" s="109" t="s">
        <v>881</v>
      </c>
      <c r="B54" s="109">
        <v>7.0616046E8</v>
      </c>
      <c r="C54" s="109" t="s">
        <v>882</v>
      </c>
      <c r="D54" s="94"/>
      <c r="E54" s="94"/>
      <c r="F54" s="94"/>
      <c r="G54" s="94"/>
      <c r="H54" s="94"/>
    </row>
    <row r="55">
      <c r="A55" s="135" t="s">
        <v>586</v>
      </c>
      <c r="B55" s="183">
        <v>7.07435077E8</v>
      </c>
      <c r="C55" s="109" t="s">
        <v>920</v>
      </c>
      <c r="D55" s="94"/>
      <c r="E55" s="94"/>
      <c r="F55" s="94"/>
      <c r="G55" s="94"/>
      <c r="H55" s="94"/>
    </row>
    <row r="56">
      <c r="A56" s="135" t="s">
        <v>546</v>
      </c>
      <c r="B56" s="183">
        <v>7.47107742E8</v>
      </c>
      <c r="C56" s="109" t="s">
        <v>693</v>
      </c>
      <c r="D56" s="94"/>
      <c r="E56" s="94"/>
      <c r="F56" s="94"/>
      <c r="G56" s="94"/>
      <c r="H56" s="94"/>
    </row>
    <row r="57">
      <c r="A57" s="136" t="s">
        <v>729</v>
      </c>
      <c r="B57" s="188"/>
      <c r="C57" s="109" t="s">
        <v>920</v>
      </c>
      <c r="D57" s="94"/>
      <c r="E57" s="94"/>
      <c r="F57" s="94"/>
      <c r="G57" s="94"/>
      <c r="H57" s="94"/>
    </row>
    <row r="58">
      <c r="A58" s="136" t="s">
        <v>699</v>
      </c>
      <c r="B58" s="136">
        <v>7.87302115E8</v>
      </c>
      <c r="C58" s="109" t="s">
        <v>693</v>
      </c>
      <c r="D58" s="94"/>
      <c r="E58" s="94"/>
      <c r="F58" s="94"/>
      <c r="G58" s="94"/>
      <c r="H58" s="94"/>
    </row>
    <row r="59">
      <c r="A59" s="135" t="s">
        <v>659</v>
      </c>
      <c r="B59" s="189">
        <v>7.56167104E8</v>
      </c>
      <c r="C59" s="93" t="s">
        <v>921</v>
      </c>
      <c r="D59" s="94"/>
      <c r="E59" s="94"/>
      <c r="F59" s="94"/>
      <c r="G59" s="94"/>
      <c r="H59" s="94"/>
    </row>
    <row r="60">
      <c r="A60" s="135" t="s">
        <v>372</v>
      </c>
      <c r="B60" s="183">
        <v>7.9027346E8</v>
      </c>
      <c r="C60" s="123"/>
      <c r="D60" s="94"/>
      <c r="E60" s="94"/>
      <c r="F60" s="94"/>
      <c r="G60" s="94"/>
      <c r="H60" s="94"/>
    </row>
    <row r="61">
      <c r="A61" s="135" t="s">
        <v>246</v>
      </c>
      <c r="B61" s="183">
        <v>7.90436295E8</v>
      </c>
      <c r="C61" s="123"/>
      <c r="D61" s="94"/>
      <c r="E61" s="94"/>
      <c r="F61" s="94"/>
      <c r="G61" s="94"/>
      <c r="H61" s="94"/>
    </row>
    <row r="62">
      <c r="A62" s="109" t="s">
        <v>732</v>
      </c>
      <c r="B62" s="109">
        <v>7.53011355E8</v>
      </c>
      <c r="C62" s="109" t="s">
        <v>734</v>
      </c>
      <c r="D62" s="94"/>
      <c r="E62" s="94"/>
      <c r="F62" s="94"/>
      <c r="G62" s="94"/>
      <c r="H62" s="94"/>
    </row>
    <row r="63">
      <c r="A63" s="109" t="s">
        <v>735</v>
      </c>
      <c r="B63" s="109">
        <v>7.06469479E8</v>
      </c>
      <c r="C63" s="109" t="s">
        <v>737</v>
      </c>
      <c r="D63" s="94"/>
      <c r="E63" s="94"/>
      <c r="F63" s="94"/>
      <c r="G63" s="94"/>
      <c r="H63" s="94"/>
    </row>
    <row r="64">
      <c r="A64" s="109" t="s">
        <v>739</v>
      </c>
      <c r="B64" s="109">
        <v>7.08237695E8</v>
      </c>
      <c r="C64" s="109" t="s">
        <v>123</v>
      </c>
      <c r="D64" s="94"/>
      <c r="E64" s="94"/>
      <c r="F64" s="94"/>
      <c r="G64" s="94"/>
      <c r="H64" s="94"/>
    </row>
    <row r="65">
      <c r="A65" s="109" t="s">
        <v>741</v>
      </c>
      <c r="B65" s="109">
        <v>7.5613769E7</v>
      </c>
      <c r="C65" s="109" t="s">
        <v>320</v>
      </c>
      <c r="D65" s="94"/>
      <c r="E65" s="94"/>
      <c r="F65" s="94"/>
      <c r="G65" s="94"/>
      <c r="H65" s="94"/>
    </row>
    <row r="66">
      <c r="A66" s="109" t="s">
        <v>743</v>
      </c>
      <c r="B66" s="109">
        <v>7.46675145E8</v>
      </c>
      <c r="C66" s="109" t="s">
        <v>320</v>
      </c>
      <c r="D66" s="94"/>
      <c r="E66" s="94"/>
      <c r="F66" s="94"/>
      <c r="G66" s="94"/>
      <c r="H66" s="94"/>
    </row>
    <row r="67">
      <c r="A67" s="109" t="s">
        <v>745</v>
      </c>
      <c r="B67" s="109">
        <v>7.08424766E8</v>
      </c>
      <c r="C67" s="109" t="s">
        <v>747</v>
      </c>
      <c r="D67" s="94"/>
      <c r="E67" s="94"/>
      <c r="F67" s="94"/>
      <c r="G67" s="94"/>
      <c r="H67" s="94"/>
    </row>
    <row r="68">
      <c r="A68" s="109" t="s">
        <v>749</v>
      </c>
      <c r="B68" s="109">
        <v>7.59121924E8</v>
      </c>
      <c r="C68" s="109" t="s">
        <v>747</v>
      </c>
      <c r="D68" s="94"/>
      <c r="E68" s="94"/>
      <c r="F68" s="94"/>
      <c r="G68" s="94"/>
      <c r="H68" s="94"/>
    </row>
    <row r="69">
      <c r="A69" s="109" t="s">
        <v>751</v>
      </c>
      <c r="B69" s="109">
        <v>7.47371351E8</v>
      </c>
      <c r="C69" s="109" t="s">
        <v>5</v>
      </c>
      <c r="D69" s="94"/>
      <c r="E69" s="94"/>
      <c r="F69" s="94"/>
      <c r="G69" s="94"/>
      <c r="H69" s="94"/>
    </row>
    <row r="70">
      <c r="A70" s="136" t="s">
        <v>754</v>
      </c>
      <c r="B70" s="136">
        <v>7.01609316E8</v>
      </c>
      <c r="C70" s="136" t="s">
        <v>123</v>
      </c>
      <c r="D70" s="94"/>
      <c r="E70" s="94"/>
      <c r="F70" s="94"/>
      <c r="G70" s="94"/>
      <c r="H70" s="94"/>
    </row>
    <row r="71">
      <c r="A71" s="136" t="s">
        <v>757</v>
      </c>
      <c r="B71" s="136">
        <v>7.00712597E8</v>
      </c>
      <c r="C71" s="136" t="s">
        <v>759</v>
      </c>
      <c r="D71" s="94"/>
      <c r="E71" s="94"/>
      <c r="F71" s="94"/>
      <c r="G71" s="94"/>
      <c r="H71" s="94"/>
    </row>
    <row r="72">
      <c r="A72" s="136" t="s">
        <v>760</v>
      </c>
      <c r="B72" s="136">
        <v>7.7420163E7</v>
      </c>
      <c r="C72" s="136" t="s">
        <v>762</v>
      </c>
      <c r="D72" s="94"/>
      <c r="E72" s="94"/>
      <c r="F72" s="94"/>
      <c r="G72" s="94"/>
      <c r="H72" s="94"/>
    </row>
    <row r="73">
      <c r="A73" s="136" t="s">
        <v>763</v>
      </c>
      <c r="B73" s="136">
        <v>7.5892074E8</v>
      </c>
      <c r="C73" s="136" t="s">
        <v>123</v>
      </c>
      <c r="D73" s="94"/>
      <c r="E73" s="94"/>
      <c r="F73" s="94"/>
      <c r="G73" s="94"/>
      <c r="H73" s="94"/>
    </row>
    <row r="74">
      <c r="A74" s="136" t="s">
        <v>765</v>
      </c>
      <c r="B74" s="136">
        <v>7.06051184E8</v>
      </c>
      <c r="C74" s="136" t="s">
        <v>734</v>
      </c>
      <c r="D74" s="94"/>
      <c r="E74" s="94"/>
      <c r="F74" s="94"/>
      <c r="G74" s="94"/>
      <c r="H74" s="94"/>
    </row>
    <row r="75">
      <c r="A75" s="136" t="s">
        <v>767</v>
      </c>
      <c r="B75" s="136">
        <v>7.51370809E8</v>
      </c>
      <c r="C75" s="136" t="s">
        <v>734</v>
      </c>
      <c r="D75" s="94"/>
      <c r="E75" s="94"/>
      <c r="F75" s="94"/>
      <c r="G75" s="94"/>
      <c r="H75" s="94"/>
    </row>
    <row r="76">
      <c r="A76" s="136" t="s">
        <v>769</v>
      </c>
      <c r="B76" s="136">
        <v>7.63132901E8</v>
      </c>
      <c r="C76" s="136" t="s">
        <v>771</v>
      </c>
      <c r="D76" s="94"/>
      <c r="E76" s="94"/>
      <c r="F76" s="94"/>
      <c r="G76" s="94"/>
      <c r="H76" s="94"/>
    </row>
    <row r="77">
      <c r="A77" s="136" t="s">
        <v>773</v>
      </c>
      <c r="B77" s="136">
        <v>7.75938147E8</v>
      </c>
      <c r="C77" s="136" t="s">
        <v>717</v>
      </c>
      <c r="D77" s="94"/>
      <c r="E77" s="94"/>
      <c r="F77" s="94"/>
      <c r="G77" s="94"/>
      <c r="H77" s="94"/>
    </row>
    <row r="78">
      <c r="A78" s="136" t="s">
        <v>775</v>
      </c>
      <c r="B78" s="136">
        <v>7.584741E8</v>
      </c>
      <c r="C78" s="136" t="s">
        <v>502</v>
      </c>
      <c r="D78" s="94"/>
      <c r="E78" s="94"/>
      <c r="F78" s="94"/>
      <c r="G78" s="94"/>
      <c r="H78" s="94"/>
    </row>
    <row r="79">
      <c r="A79" s="136" t="s">
        <v>777</v>
      </c>
      <c r="B79" s="136">
        <v>7.55587076E8</v>
      </c>
      <c r="C79" s="136" t="s">
        <v>747</v>
      </c>
      <c r="D79" s="94"/>
      <c r="E79" s="94"/>
      <c r="F79" s="94"/>
      <c r="G79" s="94"/>
      <c r="H79" s="94"/>
    </row>
    <row r="80">
      <c r="A80" s="136" t="s">
        <v>779</v>
      </c>
      <c r="B80" s="136">
        <v>7.06588188E8</v>
      </c>
      <c r="C80" s="136" t="s">
        <v>781</v>
      </c>
      <c r="D80" s="94"/>
      <c r="E80" s="94"/>
      <c r="F80" s="94"/>
      <c r="G80" s="94"/>
      <c r="H80" s="94"/>
    </row>
    <row r="81">
      <c r="A81" s="136" t="s">
        <v>782</v>
      </c>
      <c r="B81" s="136">
        <v>7.58438095E8</v>
      </c>
      <c r="C81" s="136" t="s">
        <v>784</v>
      </c>
      <c r="D81" s="94"/>
      <c r="E81" s="94"/>
      <c r="F81" s="94"/>
      <c r="G81" s="94"/>
      <c r="H81" s="94"/>
    </row>
    <row r="82">
      <c r="A82" s="136" t="s">
        <v>787</v>
      </c>
      <c r="B82" s="136">
        <v>7.90933934E8</v>
      </c>
      <c r="C82" s="109" t="s">
        <v>693</v>
      </c>
      <c r="D82" s="94"/>
      <c r="E82" s="94"/>
      <c r="F82" s="94"/>
      <c r="G82" s="94"/>
      <c r="H82" s="94"/>
    </row>
    <row r="83">
      <c r="A83" s="136" t="s">
        <v>789</v>
      </c>
      <c r="B83" s="136">
        <v>7.021434E7</v>
      </c>
      <c r="C83" s="136" t="s">
        <v>759</v>
      </c>
      <c r="D83" s="94"/>
      <c r="E83" s="94"/>
      <c r="F83" s="94"/>
      <c r="G83" s="94"/>
      <c r="H83" s="94"/>
    </row>
    <row r="84">
      <c r="A84" s="136" t="s">
        <v>792</v>
      </c>
      <c r="B84" s="136">
        <v>7.06840262E8</v>
      </c>
      <c r="C84" s="136" t="s">
        <v>123</v>
      </c>
      <c r="D84" s="94"/>
      <c r="E84" s="94"/>
      <c r="F84" s="94"/>
      <c r="G84" s="94"/>
      <c r="H84" s="94"/>
    </row>
    <row r="85">
      <c r="A85" s="136" t="s">
        <v>794</v>
      </c>
      <c r="B85" s="136">
        <v>7.6142341E7</v>
      </c>
      <c r="C85" s="136" t="s">
        <v>759</v>
      </c>
      <c r="D85" s="94"/>
      <c r="E85" s="94"/>
      <c r="F85" s="94"/>
      <c r="G85" s="94"/>
      <c r="H85" s="94"/>
    </row>
    <row r="86">
      <c r="A86" s="136" t="s">
        <v>796</v>
      </c>
      <c r="B86" s="136">
        <v>7.45775005E8</v>
      </c>
      <c r="C86" s="136" t="s">
        <v>797</v>
      </c>
      <c r="D86" s="94"/>
      <c r="E86" s="94"/>
      <c r="F86" s="94"/>
      <c r="G86" s="94"/>
      <c r="H86" s="94"/>
    </row>
    <row r="87">
      <c r="A87" s="136" t="s">
        <v>798</v>
      </c>
      <c r="B87" s="136">
        <v>7.59514728E8</v>
      </c>
      <c r="C87" s="136" t="s">
        <v>734</v>
      </c>
      <c r="D87" s="94"/>
      <c r="E87" s="94"/>
      <c r="F87" s="94"/>
      <c r="G87" s="94"/>
      <c r="H87" s="94"/>
    </row>
    <row r="88">
      <c r="A88" s="137" t="s">
        <v>62</v>
      </c>
      <c r="B88" s="187">
        <v>7.69037562E8</v>
      </c>
      <c r="C88" s="137" t="s">
        <v>64</v>
      </c>
      <c r="D88" s="94"/>
      <c r="E88" s="94"/>
      <c r="F88" s="94"/>
      <c r="G88" s="94"/>
      <c r="H88" s="94"/>
    </row>
    <row r="89">
      <c r="A89" s="136" t="s">
        <v>800</v>
      </c>
      <c r="B89" s="136">
        <v>7.0120314E7</v>
      </c>
      <c r="C89" s="109" t="s">
        <v>762</v>
      </c>
      <c r="D89" s="94"/>
      <c r="E89" s="94"/>
      <c r="F89" s="94"/>
      <c r="G89" s="94"/>
      <c r="H89" s="94"/>
    </row>
    <row r="90">
      <c r="A90" s="136" t="s">
        <v>802</v>
      </c>
      <c r="B90" s="136">
        <v>7.59979594E8</v>
      </c>
      <c r="C90" s="136" t="s">
        <v>60</v>
      </c>
      <c r="D90" s="94"/>
      <c r="E90" s="94"/>
      <c r="F90" s="94"/>
      <c r="G90" s="94"/>
      <c r="H90" s="94"/>
    </row>
    <row r="91">
      <c r="A91" s="136" t="s">
        <v>806</v>
      </c>
      <c r="B91" s="136">
        <v>7.59977531E8</v>
      </c>
      <c r="C91" s="109" t="s">
        <v>781</v>
      </c>
      <c r="D91" s="94"/>
      <c r="E91" s="94"/>
      <c r="F91" s="94"/>
      <c r="G91" s="94"/>
      <c r="H91" s="94"/>
    </row>
    <row r="92">
      <c r="A92" s="136" t="s">
        <v>808</v>
      </c>
      <c r="B92" s="136">
        <v>7.84872516E8</v>
      </c>
      <c r="C92" s="109" t="s">
        <v>123</v>
      </c>
      <c r="D92" s="94"/>
      <c r="E92" s="94"/>
      <c r="F92" s="94"/>
      <c r="G92" s="94"/>
      <c r="H92" s="94"/>
    </row>
    <row r="93">
      <c r="A93" s="136" t="s">
        <v>810</v>
      </c>
      <c r="B93" s="136">
        <v>7.42206441E8</v>
      </c>
      <c r="C93" s="109" t="s">
        <v>812</v>
      </c>
      <c r="D93" s="94"/>
      <c r="E93" s="94"/>
      <c r="F93" s="94"/>
      <c r="G93" s="94"/>
      <c r="H93" s="94"/>
    </row>
    <row r="94">
      <c r="A94" s="136" t="s">
        <v>814</v>
      </c>
      <c r="B94" s="136">
        <v>7.05926169E8</v>
      </c>
      <c r="C94" s="109" t="s">
        <v>123</v>
      </c>
      <c r="D94" s="94"/>
      <c r="E94" s="94"/>
      <c r="F94" s="94"/>
      <c r="G94" s="94"/>
      <c r="H94" s="94"/>
    </row>
    <row r="95">
      <c r="A95" s="136" t="s">
        <v>923</v>
      </c>
      <c r="B95" s="136">
        <v>7.75197087E8</v>
      </c>
      <c r="C95" s="109" t="s">
        <v>123</v>
      </c>
      <c r="D95" s="94"/>
      <c r="E95" s="94"/>
      <c r="F95" s="94"/>
      <c r="G95" s="94"/>
      <c r="H95" s="94"/>
    </row>
    <row r="96">
      <c r="A96" s="135" t="s">
        <v>14</v>
      </c>
      <c r="B96" s="183">
        <v>7.57437046E8</v>
      </c>
      <c r="C96" s="109" t="s">
        <v>16</v>
      </c>
      <c r="D96" s="94"/>
      <c r="E96" s="94"/>
      <c r="F96" s="94"/>
      <c r="G96" s="94"/>
      <c r="H96" s="94"/>
    </row>
    <row r="97">
      <c r="A97" s="136" t="s">
        <v>817</v>
      </c>
      <c r="B97" s="136">
        <v>7.07316302E8</v>
      </c>
      <c r="C97" s="109" t="s">
        <v>26</v>
      </c>
      <c r="D97" s="94"/>
      <c r="E97" s="94"/>
      <c r="F97" s="94"/>
      <c r="G97" s="94"/>
      <c r="H97" s="94"/>
    </row>
    <row r="98">
      <c r="A98" s="136" t="s">
        <v>821</v>
      </c>
      <c r="B98" s="136">
        <v>7.66843916E8</v>
      </c>
      <c r="C98" s="109" t="s">
        <v>26</v>
      </c>
      <c r="D98" s="94"/>
      <c r="E98" s="94"/>
      <c r="F98" s="94"/>
      <c r="G98" s="94"/>
      <c r="H98" s="94"/>
    </row>
    <row r="99">
      <c r="A99" s="136" t="s">
        <v>819</v>
      </c>
      <c r="B99" s="136">
        <v>7.70712312E8</v>
      </c>
      <c r="C99" s="109" t="s">
        <v>320</v>
      </c>
      <c r="D99" s="94"/>
      <c r="E99" s="94"/>
      <c r="F99" s="94"/>
      <c r="G99" s="94"/>
      <c r="H99" s="94"/>
    </row>
    <row r="100">
      <c r="A100" s="135" t="s">
        <v>35</v>
      </c>
      <c r="B100" s="183">
        <v>7.0087706E8</v>
      </c>
      <c r="C100" s="109" t="s">
        <v>123</v>
      </c>
      <c r="D100" s="94"/>
      <c r="E100" s="94"/>
      <c r="F100" s="94"/>
      <c r="G100" s="94"/>
      <c r="H100" s="94"/>
    </row>
    <row r="101">
      <c r="A101" s="136" t="s">
        <v>823</v>
      </c>
      <c r="B101" s="136">
        <v>7.0712347E7</v>
      </c>
      <c r="C101" s="109" t="s">
        <v>784</v>
      </c>
      <c r="D101" s="94"/>
      <c r="E101" s="94"/>
      <c r="F101" s="94"/>
      <c r="G101" s="94"/>
      <c r="H101" s="94"/>
    </row>
    <row r="102">
      <c r="A102" s="136" t="s">
        <v>825</v>
      </c>
      <c r="B102" s="136">
        <v>7.0911432E7</v>
      </c>
      <c r="C102" s="109" t="s">
        <v>123</v>
      </c>
      <c r="D102" s="94"/>
      <c r="E102" s="94"/>
      <c r="F102" s="94"/>
      <c r="G102" s="94"/>
      <c r="H102" s="94"/>
    </row>
    <row r="103">
      <c r="A103" s="136" t="s">
        <v>827</v>
      </c>
      <c r="B103" s="136">
        <v>7.51818512E8</v>
      </c>
      <c r="C103" s="109" t="s">
        <v>123</v>
      </c>
      <c r="D103" s="94"/>
      <c r="E103" s="94"/>
      <c r="F103" s="94"/>
      <c r="G103" s="94"/>
      <c r="H103" s="94"/>
    </row>
    <row r="104">
      <c r="A104" s="109" t="s">
        <v>924</v>
      </c>
      <c r="B104" s="109">
        <v>7.00111576E8</v>
      </c>
      <c r="C104" s="109" t="s">
        <v>747</v>
      </c>
      <c r="D104" s="94"/>
      <c r="E104" s="94"/>
      <c r="F104" s="94"/>
      <c r="G104" s="94"/>
      <c r="H104" s="9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3.88"/>
    <col customWidth="1" min="5" max="5" width="17.13"/>
    <col customWidth="1" min="6" max="6" width="21.38"/>
  </cols>
  <sheetData>
    <row r="1">
      <c r="A1" s="190" t="s">
        <v>89</v>
      </c>
      <c r="B1" s="191" t="s">
        <v>0</v>
      </c>
      <c r="C1" s="191" t="s">
        <v>2</v>
      </c>
      <c r="D1" s="192" t="s">
        <v>925</v>
      </c>
      <c r="E1" s="192" t="s">
        <v>926</v>
      </c>
      <c r="F1" s="193" t="s">
        <v>927</v>
      </c>
    </row>
    <row r="2">
      <c r="A2" s="194"/>
      <c r="B2" s="195"/>
      <c r="C2" s="194"/>
      <c r="D2" s="94"/>
      <c r="E2" s="94"/>
      <c r="F2" s="94"/>
    </row>
    <row r="3">
      <c r="A3" s="196" t="s">
        <v>100</v>
      </c>
      <c r="B3" s="197">
        <v>7.45161048E8</v>
      </c>
      <c r="C3" s="196" t="s">
        <v>5</v>
      </c>
      <c r="D3" s="94"/>
      <c r="E3" s="93">
        <v>100000.0</v>
      </c>
      <c r="F3" s="94"/>
    </row>
    <row r="4">
      <c r="A4" s="196" t="s">
        <v>102</v>
      </c>
      <c r="B4" s="197">
        <v>7.52601725E8</v>
      </c>
      <c r="C4" s="196" t="s">
        <v>26</v>
      </c>
      <c r="D4" s="94"/>
      <c r="E4" s="93">
        <v>100000.0</v>
      </c>
      <c r="F4" s="94"/>
    </row>
    <row r="5">
      <c r="A5" s="196" t="s">
        <v>104</v>
      </c>
      <c r="B5" s="197">
        <v>7.05468841E8</v>
      </c>
      <c r="C5" s="196" t="s">
        <v>5</v>
      </c>
      <c r="D5" s="94"/>
      <c r="E5" s="93">
        <v>100000.0</v>
      </c>
      <c r="F5" s="94"/>
    </row>
    <row r="6">
      <c r="A6" s="196" t="s">
        <v>106</v>
      </c>
      <c r="B6" s="197">
        <v>7.47419808E8</v>
      </c>
      <c r="C6" s="196" t="s">
        <v>26</v>
      </c>
      <c r="D6" s="94"/>
      <c r="E6" s="93">
        <v>100000.0</v>
      </c>
      <c r="F6" s="94"/>
    </row>
    <row r="7">
      <c r="A7" s="196" t="s">
        <v>108</v>
      </c>
      <c r="B7" s="197">
        <v>7.04453861E8</v>
      </c>
      <c r="C7" s="196" t="s">
        <v>45</v>
      </c>
      <c r="D7" s="94"/>
      <c r="E7" s="93">
        <v>100000.0</v>
      </c>
      <c r="F7" s="94"/>
    </row>
    <row r="8">
      <c r="A8" s="196" t="s">
        <v>110</v>
      </c>
      <c r="B8" s="197">
        <v>7.45161048E8</v>
      </c>
      <c r="C8" s="196" t="s">
        <v>57</v>
      </c>
      <c r="D8" s="94"/>
      <c r="E8" s="93">
        <v>100000.0</v>
      </c>
      <c r="F8" s="94"/>
    </row>
    <row r="9">
      <c r="A9" s="196" t="s">
        <v>112</v>
      </c>
      <c r="B9" s="197">
        <v>7.42753089E8</v>
      </c>
      <c r="C9" s="196" t="s">
        <v>114</v>
      </c>
      <c r="D9" s="94"/>
      <c r="E9" s="93">
        <v>100000.0</v>
      </c>
      <c r="F9" s="94"/>
    </row>
    <row r="10">
      <c r="A10" s="196" t="s">
        <v>115</v>
      </c>
      <c r="B10" s="197">
        <v>7.08913453E8</v>
      </c>
      <c r="C10" s="196" t="s">
        <v>71</v>
      </c>
      <c r="D10" s="94"/>
      <c r="E10" s="93">
        <v>100000.0</v>
      </c>
      <c r="F10" s="94"/>
    </row>
    <row r="11">
      <c r="A11" s="194"/>
      <c r="B11" s="195"/>
      <c r="C11" s="194"/>
      <c r="D11" s="94"/>
      <c r="E11" s="93">
        <v>100000.0</v>
      </c>
      <c r="F11" s="94"/>
    </row>
    <row r="12">
      <c r="A12" s="196" t="s">
        <v>121</v>
      </c>
      <c r="B12" s="197">
        <v>7.55459196E8</v>
      </c>
      <c r="C12" s="196" t="s">
        <v>123</v>
      </c>
      <c r="D12" s="94"/>
      <c r="E12" s="93">
        <v>100000.0</v>
      </c>
      <c r="F12" s="94"/>
    </row>
    <row r="13">
      <c r="A13" s="198" t="s">
        <v>124</v>
      </c>
      <c r="B13" s="199">
        <v>7.45235191E8</v>
      </c>
      <c r="C13" s="196" t="s">
        <v>5</v>
      </c>
      <c r="D13" s="94"/>
      <c r="E13" s="93">
        <v>100000.0</v>
      </c>
      <c r="F13" s="94"/>
    </row>
    <row r="14">
      <c r="A14" s="200"/>
      <c r="B14" s="201"/>
      <c r="C14" s="200"/>
      <c r="D14" s="94"/>
      <c r="E14" s="93">
        <v>100000.0</v>
      </c>
      <c r="F14" s="94"/>
    </row>
    <row r="15">
      <c r="A15" s="202"/>
      <c r="B15" s="203"/>
      <c r="C15" s="202"/>
      <c r="D15" s="94"/>
      <c r="E15" s="93">
        <v>100000.0</v>
      </c>
      <c r="F15" s="94"/>
    </row>
    <row r="16">
      <c r="A16" s="196" t="s">
        <v>127</v>
      </c>
      <c r="B16" s="197">
        <v>7.4574254E8</v>
      </c>
      <c r="C16" s="196" t="s">
        <v>128</v>
      </c>
      <c r="D16" s="94"/>
      <c r="E16" s="93">
        <v>100000.0</v>
      </c>
      <c r="F16" s="94"/>
    </row>
    <row r="17">
      <c r="A17" s="200"/>
      <c r="B17" s="201"/>
      <c r="C17" s="200"/>
      <c r="D17" s="94"/>
      <c r="E17" s="93">
        <v>100000.0</v>
      </c>
      <c r="F17" s="94"/>
    </row>
    <row r="18">
      <c r="A18" s="204"/>
      <c r="B18" s="205"/>
      <c r="C18" s="204"/>
      <c r="D18" s="94"/>
      <c r="E18" s="93">
        <v>100000.0</v>
      </c>
      <c r="F18" s="94"/>
    </row>
    <row r="19">
      <c r="A19" s="198" t="s">
        <v>133</v>
      </c>
      <c r="B19" s="199">
        <v>7.06052465E8</v>
      </c>
      <c r="C19" s="198" t="s">
        <v>71</v>
      </c>
      <c r="D19" s="94"/>
      <c r="E19" s="93">
        <v>100000.0</v>
      </c>
      <c r="F19" s="94"/>
    </row>
    <row r="20">
      <c r="A20" s="196" t="s">
        <v>134</v>
      </c>
      <c r="B20" s="196" t="s">
        <v>135</v>
      </c>
      <c r="C20" s="196" t="s">
        <v>138</v>
      </c>
      <c r="D20" s="94"/>
      <c r="E20" s="93">
        <v>100000.0</v>
      </c>
      <c r="F20" s="94"/>
    </row>
    <row r="21">
      <c r="A21" s="196" t="s">
        <v>139</v>
      </c>
      <c r="B21" s="197">
        <v>7.60321528E8</v>
      </c>
      <c r="C21" s="196" t="s">
        <v>57</v>
      </c>
      <c r="D21" s="94"/>
      <c r="E21" s="93">
        <v>100000.0</v>
      </c>
      <c r="F21" s="94"/>
    </row>
    <row r="22">
      <c r="A22" s="196" t="s">
        <v>141</v>
      </c>
      <c r="B22" s="197">
        <v>7.51433725E8</v>
      </c>
      <c r="C22" s="196" t="s">
        <v>143</v>
      </c>
      <c r="D22" s="94"/>
      <c r="E22" s="93">
        <v>100000.0</v>
      </c>
      <c r="F22" s="94"/>
    </row>
    <row r="23">
      <c r="A23" s="196" t="s">
        <v>144</v>
      </c>
      <c r="B23" s="197">
        <v>7.55502862E8</v>
      </c>
      <c r="C23" s="196" t="s">
        <v>26</v>
      </c>
      <c r="D23" s="94"/>
      <c r="E23" s="93">
        <v>100000.0</v>
      </c>
      <c r="F23" s="94"/>
    </row>
    <row r="24">
      <c r="A24" s="196" t="s">
        <v>146</v>
      </c>
      <c r="B24" s="197">
        <v>7.75239025E8</v>
      </c>
      <c r="C24" s="196" t="s">
        <v>5</v>
      </c>
      <c r="D24" s="94"/>
      <c r="E24" s="93">
        <v>100000.0</v>
      </c>
      <c r="F24" s="94"/>
    </row>
    <row r="25">
      <c r="A25" s="204"/>
      <c r="B25" s="205"/>
      <c r="C25" s="204"/>
      <c r="D25" s="94"/>
      <c r="E25" s="93">
        <v>100000.0</v>
      </c>
      <c r="F25" s="94"/>
    </row>
    <row r="26">
      <c r="A26" s="198" t="s">
        <v>149</v>
      </c>
      <c r="B26" s="199">
        <v>7.57345889E8</v>
      </c>
      <c r="C26" s="198" t="s">
        <v>151</v>
      </c>
      <c r="D26" s="94"/>
      <c r="E26" s="93">
        <v>100000.0</v>
      </c>
      <c r="F26" s="94"/>
    </row>
    <row r="27">
      <c r="A27" s="196" t="s">
        <v>152</v>
      </c>
      <c r="B27" s="197">
        <v>7.06758384E8</v>
      </c>
      <c r="C27" s="196" t="s">
        <v>26</v>
      </c>
      <c r="D27" s="94"/>
      <c r="E27" s="93">
        <v>100000.0</v>
      </c>
      <c r="F27" s="94"/>
    </row>
    <row r="28">
      <c r="A28" s="198" t="s">
        <v>154</v>
      </c>
      <c r="B28" s="199">
        <v>7.44300579E8</v>
      </c>
      <c r="C28" s="198" t="s">
        <v>26</v>
      </c>
      <c r="D28" s="94"/>
      <c r="E28" s="93">
        <v>100000.0</v>
      </c>
      <c r="F28" s="94"/>
    </row>
    <row r="29">
      <c r="A29" s="200"/>
      <c r="B29" s="201"/>
      <c r="C29" s="200"/>
      <c r="D29" s="94"/>
      <c r="E29" s="93">
        <v>100000.0</v>
      </c>
      <c r="F29" s="94"/>
    </row>
    <row r="30">
      <c r="A30" s="204"/>
      <c r="B30" s="205"/>
      <c r="C30" s="204"/>
      <c r="D30" s="94"/>
      <c r="E30" s="93">
        <v>100000.0</v>
      </c>
      <c r="F30" s="94"/>
    </row>
    <row r="31">
      <c r="A31" s="194"/>
      <c r="B31" s="195"/>
      <c r="C31" s="194"/>
      <c r="D31" s="94"/>
      <c r="E31" s="93">
        <v>100000.0</v>
      </c>
      <c r="F31" s="94"/>
    </row>
    <row r="32">
      <c r="A32" s="194"/>
      <c r="B32" s="195"/>
      <c r="C32" s="194"/>
      <c r="D32" s="94"/>
      <c r="E32" s="93">
        <v>100000.0</v>
      </c>
      <c r="F32" s="94"/>
    </row>
    <row r="33">
      <c r="A33" s="204"/>
      <c r="B33" s="205"/>
      <c r="C33" s="204"/>
      <c r="D33" s="94"/>
      <c r="E33" s="93">
        <v>100000.0</v>
      </c>
      <c r="F33" s="94"/>
    </row>
    <row r="34">
      <c r="A34" s="196" t="s">
        <v>164</v>
      </c>
      <c r="B34" s="197">
        <v>7.57589241E8</v>
      </c>
      <c r="C34" s="196" t="s">
        <v>23</v>
      </c>
      <c r="D34" s="94"/>
      <c r="E34" s="93">
        <v>100000.0</v>
      </c>
      <c r="F34" s="94"/>
    </row>
    <row r="35">
      <c r="A35" s="196" t="s">
        <v>166</v>
      </c>
      <c r="B35" s="197">
        <v>7.57817374E8</v>
      </c>
      <c r="C35" s="196" t="s">
        <v>23</v>
      </c>
      <c r="D35" s="94"/>
      <c r="E35" s="93">
        <v>100000.0</v>
      </c>
      <c r="F35" s="94"/>
    </row>
    <row r="36">
      <c r="A36" s="196" t="s">
        <v>168</v>
      </c>
      <c r="B36" s="197">
        <v>7.51612906E8</v>
      </c>
      <c r="C36" s="196" t="s">
        <v>5</v>
      </c>
      <c r="D36" s="94"/>
      <c r="E36" s="93">
        <v>100000.0</v>
      </c>
      <c r="F36" s="94"/>
    </row>
    <row r="37">
      <c r="A37" s="196" t="s">
        <v>169</v>
      </c>
      <c r="B37" s="197">
        <v>7.06572321E8</v>
      </c>
      <c r="C37" s="196" t="s">
        <v>45</v>
      </c>
      <c r="D37" s="94"/>
      <c r="E37" s="93">
        <v>100000.0</v>
      </c>
      <c r="F37" s="94"/>
    </row>
    <row r="38">
      <c r="A38" s="196" t="s">
        <v>171</v>
      </c>
      <c r="B38" s="197">
        <v>7.88698799E8</v>
      </c>
      <c r="C38" s="196" t="s">
        <v>83</v>
      </c>
      <c r="D38" s="94"/>
      <c r="E38" s="93">
        <v>100000.0</v>
      </c>
      <c r="F38" s="94"/>
    </row>
    <row r="39">
      <c r="A39" s="196" t="s">
        <v>173</v>
      </c>
      <c r="B39" s="196" t="s">
        <v>174</v>
      </c>
      <c r="C39" s="196" t="s">
        <v>57</v>
      </c>
      <c r="D39" s="94"/>
      <c r="E39" s="93">
        <v>100000.0</v>
      </c>
      <c r="F39" s="94"/>
    </row>
    <row r="40">
      <c r="A40" s="196" t="s">
        <v>176</v>
      </c>
      <c r="B40" s="197">
        <v>7.89463383E8</v>
      </c>
      <c r="C40" s="196" t="s">
        <v>57</v>
      </c>
      <c r="D40" s="94"/>
      <c r="E40" s="93">
        <v>100000.0</v>
      </c>
      <c r="F40" s="94"/>
    </row>
    <row r="41">
      <c r="A41" s="196" t="s">
        <v>178</v>
      </c>
      <c r="B41" s="197">
        <v>7.4615514E8</v>
      </c>
      <c r="C41" s="196" t="s">
        <v>57</v>
      </c>
      <c r="D41" s="94"/>
      <c r="E41" s="93">
        <v>100000.0</v>
      </c>
      <c r="F41" s="94"/>
    </row>
    <row r="42">
      <c r="A42" s="196" t="s">
        <v>180</v>
      </c>
      <c r="B42" s="206">
        <v>7.02627336E8</v>
      </c>
      <c r="C42" s="196" t="s">
        <v>182</v>
      </c>
      <c r="D42" s="94"/>
      <c r="E42" s="93">
        <v>100000.0</v>
      </c>
      <c r="F42" s="94"/>
    </row>
    <row r="43">
      <c r="A43" s="194"/>
      <c r="B43" s="195"/>
      <c r="C43" s="194"/>
      <c r="D43" s="94"/>
      <c r="E43" s="93">
        <v>100000.0</v>
      </c>
      <c r="F43" s="94"/>
    </row>
    <row r="44">
      <c r="A44" s="204"/>
      <c r="B44" s="204"/>
      <c r="C44" s="204"/>
      <c r="D44" s="94"/>
      <c r="E44" s="93">
        <v>100000.0</v>
      </c>
      <c r="F44" s="94"/>
    </row>
    <row r="45">
      <c r="A45" s="196" t="s">
        <v>185</v>
      </c>
      <c r="B45" s="197">
        <v>7.04120922E8</v>
      </c>
      <c r="C45" s="196" t="s">
        <v>45</v>
      </c>
      <c r="D45" s="94"/>
      <c r="E45" s="93">
        <v>100000.0</v>
      </c>
      <c r="F45" s="94"/>
    </row>
    <row r="46">
      <c r="A46" s="200"/>
      <c r="B46" s="201"/>
      <c r="C46" s="200"/>
      <c r="D46" s="94"/>
      <c r="E46" s="93">
        <v>100000.0</v>
      </c>
      <c r="F46" s="94"/>
    </row>
    <row r="47">
      <c r="A47" s="196" t="s">
        <v>190</v>
      </c>
      <c r="B47" s="197">
        <v>7.83008879E8</v>
      </c>
      <c r="C47" s="196" t="s">
        <v>5</v>
      </c>
      <c r="D47" s="94"/>
      <c r="E47" s="93">
        <v>100000.0</v>
      </c>
      <c r="F47" s="94"/>
    </row>
    <row r="48">
      <c r="A48" s="196" t="s">
        <v>192</v>
      </c>
      <c r="B48" s="196" t="s">
        <v>193</v>
      </c>
      <c r="C48" s="196" t="s">
        <v>5</v>
      </c>
      <c r="D48" s="94"/>
      <c r="E48" s="93">
        <v>100000.0</v>
      </c>
      <c r="F48" s="94"/>
    </row>
    <row r="49">
      <c r="A49" s="204"/>
      <c r="B49" s="204"/>
      <c r="C49" s="204"/>
      <c r="D49" s="94"/>
      <c r="E49" s="93">
        <v>100000.0</v>
      </c>
      <c r="F49" s="94"/>
    </row>
    <row r="50">
      <c r="A50" s="196" t="s">
        <v>195</v>
      </c>
      <c r="B50" s="196" t="s">
        <v>196</v>
      </c>
      <c r="C50" s="196" t="s">
        <v>198</v>
      </c>
      <c r="D50" s="94"/>
      <c r="E50" s="93">
        <v>100000.0</v>
      </c>
      <c r="F50" s="94"/>
    </row>
    <row r="51">
      <c r="A51" s="200"/>
      <c r="B51" s="201"/>
      <c r="C51" s="200"/>
      <c r="D51" s="94"/>
      <c r="E51" s="93">
        <v>100000.0</v>
      </c>
      <c r="F51" s="94"/>
    </row>
    <row r="52">
      <c r="A52" s="196" t="s">
        <v>201</v>
      </c>
      <c r="B52" s="197">
        <v>7.45309518E8</v>
      </c>
      <c r="C52" s="196" t="s">
        <v>5</v>
      </c>
      <c r="D52" s="94"/>
      <c r="E52" s="93">
        <v>100000.0</v>
      </c>
      <c r="F52" s="94"/>
    </row>
    <row r="53">
      <c r="A53" s="196" t="s">
        <v>204</v>
      </c>
      <c r="B53" s="197">
        <v>7.80313304E8</v>
      </c>
      <c r="C53" s="196" t="s">
        <v>57</v>
      </c>
      <c r="D53" s="94"/>
      <c r="E53" s="93">
        <v>100000.0</v>
      </c>
      <c r="F53" s="94"/>
    </row>
    <row r="54">
      <c r="A54" s="196" t="s">
        <v>206</v>
      </c>
      <c r="B54" s="197">
        <v>7.4689571E8</v>
      </c>
      <c r="C54" s="196" t="s">
        <v>5</v>
      </c>
      <c r="D54" s="94"/>
      <c r="E54" s="93">
        <v>100000.0</v>
      </c>
      <c r="F54" s="94"/>
    </row>
    <row r="55">
      <c r="A55" s="196" t="s">
        <v>209</v>
      </c>
      <c r="B55" s="197">
        <v>7.89463383E8</v>
      </c>
      <c r="C55" s="196" t="s">
        <v>5</v>
      </c>
      <c r="D55" s="94"/>
      <c r="E55" s="93">
        <v>100000.0</v>
      </c>
      <c r="F55" s="94"/>
    </row>
    <row r="56">
      <c r="A56" s="204"/>
      <c r="B56" s="205"/>
      <c r="C56" s="204"/>
      <c r="D56" s="94"/>
      <c r="E56" s="93">
        <v>100000.0</v>
      </c>
      <c r="F56" s="94"/>
    </row>
    <row r="57">
      <c r="A57" s="196" t="s">
        <v>211</v>
      </c>
      <c r="B57" s="197">
        <v>7.09997539E8</v>
      </c>
      <c r="C57" s="196" t="s">
        <v>143</v>
      </c>
      <c r="D57" s="94"/>
      <c r="E57" s="93">
        <v>100000.0</v>
      </c>
      <c r="F57" s="94"/>
    </row>
    <row r="58">
      <c r="A58" s="194"/>
      <c r="B58" s="195"/>
      <c r="C58" s="194"/>
      <c r="D58" s="94"/>
      <c r="E58" s="93">
        <v>100000.0</v>
      </c>
      <c r="F58" s="94"/>
    </row>
    <row r="59">
      <c r="A59" s="196" t="s">
        <v>215</v>
      </c>
      <c r="B59" s="206">
        <v>7.04979786E8</v>
      </c>
      <c r="C59" s="196" t="s">
        <v>217</v>
      </c>
      <c r="D59" s="94"/>
      <c r="E59" s="93">
        <v>100000.0</v>
      </c>
      <c r="F59" s="94"/>
    </row>
    <row r="60">
      <c r="A60" s="196" t="s">
        <v>218</v>
      </c>
      <c r="B60" s="197">
        <v>7.48875037E8</v>
      </c>
      <c r="C60" s="196" t="s">
        <v>83</v>
      </c>
      <c r="D60" s="94"/>
      <c r="E60" s="93">
        <v>100000.0</v>
      </c>
      <c r="F60" s="94"/>
    </row>
    <row r="61">
      <c r="A61" s="196" t="s">
        <v>220</v>
      </c>
      <c r="B61" s="197">
        <v>7.50440078E8</v>
      </c>
      <c r="C61" s="196" t="s">
        <v>20</v>
      </c>
      <c r="D61" s="94"/>
      <c r="E61" s="93">
        <v>100000.0</v>
      </c>
      <c r="F61" s="94"/>
    </row>
    <row r="62">
      <c r="A62" s="196" t="s">
        <v>221</v>
      </c>
      <c r="B62" s="197">
        <v>7.79639561E8</v>
      </c>
      <c r="C62" s="196" t="s">
        <v>45</v>
      </c>
      <c r="D62" s="94"/>
      <c r="E62" s="93">
        <v>100000.0</v>
      </c>
      <c r="F62" s="94"/>
    </row>
    <row r="63">
      <c r="A63" s="196" t="s">
        <v>223</v>
      </c>
      <c r="B63" s="197">
        <v>7.59908673E8</v>
      </c>
      <c r="C63" s="196" t="s">
        <v>45</v>
      </c>
      <c r="D63" s="94"/>
      <c r="E63" s="93">
        <v>100000.0</v>
      </c>
      <c r="F63" s="94"/>
    </row>
    <row r="64">
      <c r="A64" s="196" t="s">
        <v>225</v>
      </c>
      <c r="B64" s="197">
        <v>7.43348942E8</v>
      </c>
      <c r="C64" s="196" t="s">
        <v>226</v>
      </c>
      <c r="D64" s="94"/>
      <c r="E64" s="93">
        <v>100000.0</v>
      </c>
      <c r="F64" s="94"/>
    </row>
    <row r="65">
      <c r="A65" s="194"/>
      <c r="B65" s="195"/>
      <c r="C65" s="194"/>
      <c r="D65" s="94"/>
      <c r="E65" s="93">
        <v>100000.0</v>
      </c>
      <c r="F65" s="94"/>
    </row>
    <row r="66">
      <c r="A66" s="200"/>
      <c r="B66" s="201"/>
      <c r="C66" s="200"/>
      <c r="D66" s="94"/>
      <c r="E66" s="93">
        <v>100000.0</v>
      </c>
      <c r="F66" s="94"/>
    </row>
    <row r="67">
      <c r="A67" s="196" t="s">
        <v>228</v>
      </c>
      <c r="B67" s="197">
        <v>7.04774447E8</v>
      </c>
      <c r="C67" s="196" t="s">
        <v>151</v>
      </c>
      <c r="D67" s="94"/>
      <c r="E67" s="93">
        <v>100000.0</v>
      </c>
      <c r="F67" s="94"/>
    </row>
    <row r="68">
      <c r="A68" s="196" t="s">
        <v>230</v>
      </c>
      <c r="B68" s="196" t="s">
        <v>231</v>
      </c>
      <c r="C68" s="196" t="s">
        <v>26</v>
      </c>
      <c r="D68" s="94"/>
      <c r="E68" s="93">
        <v>100000.0</v>
      </c>
      <c r="F68" s="94"/>
    </row>
    <row r="69">
      <c r="A69" s="196" t="s">
        <v>233</v>
      </c>
      <c r="B69" s="197">
        <v>7.45353082E8</v>
      </c>
      <c r="C69" s="196" t="s">
        <v>234</v>
      </c>
      <c r="D69" s="94"/>
      <c r="E69" s="93">
        <v>100000.0</v>
      </c>
      <c r="F69" s="94"/>
    </row>
    <row r="70">
      <c r="A70" s="204"/>
      <c r="B70" s="205"/>
      <c r="C70" s="204"/>
      <c r="D70" s="94"/>
      <c r="E70" s="93">
        <v>100000.0</v>
      </c>
      <c r="F70" s="94"/>
    </row>
    <row r="71">
      <c r="A71" s="196" t="s">
        <v>235</v>
      </c>
      <c r="B71" s="197">
        <v>7.55105066E8</v>
      </c>
      <c r="C71" s="196" t="s">
        <v>143</v>
      </c>
      <c r="D71" s="94"/>
      <c r="E71" s="93">
        <v>100000.0</v>
      </c>
      <c r="F71" s="94"/>
    </row>
    <row r="72">
      <c r="A72" s="198" t="s">
        <v>237</v>
      </c>
      <c r="B72" s="199">
        <v>7.07467655E8</v>
      </c>
      <c r="C72" s="198" t="s">
        <v>114</v>
      </c>
      <c r="D72" s="94"/>
      <c r="E72" s="93">
        <v>100000.0</v>
      </c>
      <c r="F72" s="94"/>
    </row>
    <row r="73">
      <c r="A73" s="196" t="s">
        <v>240</v>
      </c>
      <c r="B73" s="197">
        <v>7.60045647E8</v>
      </c>
      <c r="C73" s="196" t="s">
        <v>26</v>
      </c>
      <c r="D73" s="94"/>
      <c r="E73" s="93">
        <v>100000.0</v>
      </c>
      <c r="F73" s="94"/>
    </row>
    <row r="74">
      <c r="A74" s="196" t="s">
        <v>242</v>
      </c>
      <c r="B74" s="197">
        <v>7.81686488E8</v>
      </c>
      <c r="C74" s="196" t="s">
        <v>128</v>
      </c>
      <c r="D74" s="94"/>
      <c r="E74" s="93">
        <v>100000.0</v>
      </c>
      <c r="F74" s="94"/>
    </row>
    <row r="75">
      <c r="A75" s="196" t="s">
        <v>244</v>
      </c>
      <c r="B75" s="197">
        <v>7.44781014E8</v>
      </c>
      <c r="C75" s="196" t="s">
        <v>60</v>
      </c>
      <c r="D75" s="94"/>
      <c r="E75" s="93">
        <v>100000.0</v>
      </c>
      <c r="F75" s="94"/>
    </row>
    <row r="76">
      <c r="A76" s="194"/>
      <c r="B76" s="195"/>
      <c r="C76" s="200"/>
      <c r="D76" s="94"/>
      <c r="E76" s="93">
        <v>100000.0</v>
      </c>
      <c r="F76" s="94"/>
    </row>
    <row r="77">
      <c r="A77" s="194"/>
      <c r="B77" s="195"/>
      <c r="C77" s="194"/>
      <c r="D77" s="94"/>
      <c r="E77" s="93">
        <v>100000.0</v>
      </c>
      <c r="F77" s="94"/>
    </row>
    <row r="78">
      <c r="A78" s="196" t="s">
        <v>251</v>
      </c>
      <c r="B78" s="206">
        <v>7.84664422E8</v>
      </c>
      <c r="C78" s="196" t="s">
        <v>217</v>
      </c>
      <c r="D78" s="94"/>
      <c r="E78" s="93">
        <v>100000.0</v>
      </c>
      <c r="F78" s="94"/>
    </row>
    <row r="79">
      <c r="A79" s="204"/>
      <c r="B79" s="205"/>
      <c r="C79" s="204"/>
      <c r="D79" s="94"/>
      <c r="E79" s="93">
        <v>100000.0</v>
      </c>
      <c r="F79" s="94"/>
    </row>
    <row r="80">
      <c r="A80" s="194"/>
      <c r="B80" s="195"/>
      <c r="C80" s="194"/>
      <c r="D80" s="94"/>
      <c r="E80" s="93">
        <v>100000.0</v>
      </c>
      <c r="F80" s="94"/>
    </row>
    <row r="81">
      <c r="A81" s="194"/>
      <c r="B81" s="195"/>
      <c r="C81" s="194"/>
      <c r="D81" s="94"/>
      <c r="E81" s="93">
        <v>100000.0</v>
      </c>
      <c r="F81" s="94"/>
    </row>
    <row r="82">
      <c r="A82" s="196" t="s">
        <v>258</v>
      </c>
      <c r="B82" s="197">
        <v>7.02627639E8</v>
      </c>
      <c r="C82" s="196" t="s">
        <v>26</v>
      </c>
      <c r="D82" s="94"/>
      <c r="E82" s="93">
        <v>100000.0</v>
      </c>
      <c r="F82" s="94"/>
    </row>
    <row r="83">
      <c r="A83" s="196" t="s">
        <v>260</v>
      </c>
      <c r="B83" s="197">
        <v>7.58189317E8</v>
      </c>
      <c r="C83" s="196" t="s">
        <v>5</v>
      </c>
      <c r="D83" s="94"/>
      <c r="E83" s="93">
        <v>100000.0</v>
      </c>
      <c r="F83" s="94"/>
    </row>
    <row r="84">
      <c r="A84" s="198" t="s">
        <v>261</v>
      </c>
      <c r="B84" s="207">
        <v>7.43927852E8</v>
      </c>
      <c r="C84" s="198" t="s">
        <v>83</v>
      </c>
      <c r="D84" s="94"/>
      <c r="E84" s="93">
        <v>100000.0</v>
      </c>
      <c r="F84" s="94"/>
    </row>
    <row r="85">
      <c r="A85" s="196" t="s">
        <v>262</v>
      </c>
      <c r="B85" s="197">
        <v>7.53475536E8</v>
      </c>
      <c r="C85" s="196" t="s">
        <v>138</v>
      </c>
      <c r="D85" s="94"/>
      <c r="E85" s="93">
        <v>100000.0</v>
      </c>
      <c r="F85" s="94"/>
    </row>
    <row r="86">
      <c r="A86" s="204"/>
      <c r="B86" s="205"/>
      <c r="C86" s="204"/>
      <c r="D86" s="94"/>
      <c r="E86" s="93">
        <v>100000.0</v>
      </c>
      <c r="F86" s="94"/>
    </row>
    <row r="87">
      <c r="A87" s="196" t="s">
        <v>264</v>
      </c>
      <c r="B87" s="197">
        <v>7.81911494E8</v>
      </c>
      <c r="C87" s="196" t="s">
        <v>266</v>
      </c>
      <c r="D87" s="94"/>
      <c r="E87" s="93">
        <v>100000.0</v>
      </c>
      <c r="F87" s="94"/>
    </row>
    <row r="88">
      <c r="A88" s="200"/>
      <c r="B88" s="201"/>
      <c r="C88" s="200"/>
      <c r="D88" s="94"/>
      <c r="E88" s="93">
        <v>100000.0</v>
      </c>
      <c r="F88" s="94"/>
    </row>
    <row r="89">
      <c r="A89" s="194"/>
      <c r="B89" s="195"/>
      <c r="C89" s="194"/>
      <c r="D89" s="94"/>
      <c r="E89" s="93">
        <v>100000.0</v>
      </c>
      <c r="F89" s="94"/>
    </row>
    <row r="90">
      <c r="A90" s="196" t="s">
        <v>271</v>
      </c>
      <c r="B90" s="196" t="s">
        <v>272</v>
      </c>
      <c r="C90" s="196" t="s">
        <v>54</v>
      </c>
      <c r="D90" s="94"/>
      <c r="E90" s="93">
        <v>100000.0</v>
      </c>
      <c r="F90" s="94"/>
    </row>
    <row r="91">
      <c r="A91" s="208" t="s">
        <v>274</v>
      </c>
      <c r="B91" s="209">
        <v>7.08250755E8</v>
      </c>
      <c r="C91" s="194"/>
      <c r="D91" s="94"/>
      <c r="E91" s="93">
        <v>100000.0</v>
      </c>
      <c r="F91" s="94"/>
    </row>
    <row r="92">
      <c r="A92" s="196" t="s">
        <v>276</v>
      </c>
      <c r="B92" s="196" t="s">
        <v>277</v>
      </c>
      <c r="C92" s="196" t="s">
        <v>279</v>
      </c>
      <c r="D92" s="94"/>
      <c r="E92" s="93">
        <v>100000.0</v>
      </c>
      <c r="F92" s="94"/>
    </row>
    <row r="93">
      <c r="A93" s="198" t="s">
        <v>280</v>
      </c>
      <c r="B93" s="199">
        <v>7.44973008E8</v>
      </c>
      <c r="C93" s="198" t="s">
        <v>45</v>
      </c>
      <c r="D93" s="94"/>
      <c r="E93" s="93">
        <v>100000.0</v>
      </c>
      <c r="F93" s="94"/>
    </row>
    <row r="94">
      <c r="A94" s="204"/>
      <c r="B94" s="205"/>
      <c r="C94" s="204"/>
      <c r="D94" s="94"/>
      <c r="E94" s="93">
        <v>100000.0</v>
      </c>
      <c r="F94" s="94"/>
    </row>
    <row r="95">
      <c r="A95" s="196" t="s">
        <v>282</v>
      </c>
      <c r="B95" s="197">
        <v>7.03894974E8</v>
      </c>
      <c r="C95" s="196" t="s">
        <v>26</v>
      </c>
      <c r="D95" s="94"/>
      <c r="E95" s="93">
        <v>100000.0</v>
      </c>
      <c r="F95" s="94"/>
    </row>
    <row r="96">
      <c r="A96" s="196" t="s">
        <v>284</v>
      </c>
      <c r="B96" s="197">
        <v>7.01948082E8</v>
      </c>
      <c r="C96" s="196" t="s">
        <v>23</v>
      </c>
      <c r="D96" s="94"/>
      <c r="E96" s="93">
        <v>100000.0</v>
      </c>
      <c r="F96" s="94"/>
    </row>
    <row r="97">
      <c r="A97" s="200"/>
      <c r="B97" s="201"/>
      <c r="C97" s="200"/>
      <c r="D97" s="94"/>
      <c r="E97" s="93">
        <v>100000.0</v>
      </c>
      <c r="F97" s="94"/>
    </row>
    <row r="98">
      <c r="A98" s="196" t="s">
        <v>288</v>
      </c>
      <c r="B98" s="197">
        <v>7.53782518E8</v>
      </c>
      <c r="C98" s="196" t="s">
        <v>5</v>
      </c>
      <c r="D98" s="94"/>
      <c r="E98" s="93">
        <v>100000.0</v>
      </c>
      <c r="F98" s="94"/>
    </row>
    <row r="99">
      <c r="A99" s="196" t="s">
        <v>290</v>
      </c>
      <c r="B99" s="197">
        <v>7.00838634E8</v>
      </c>
      <c r="C99" s="196" t="s">
        <v>5</v>
      </c>
      <c r="D99" s="94"/>
      <c r="E99" s="93">
        <v>100000.0</v>
      </c>
      <c r="F99" s="94"/>
    </row>
    <row r="100">
      <c r="A100" s="196" t="s">
        <v>292</v>
      </c>
      <c r="B100" s="197">
        <v>7.08901461E8</v>
      </c>
      <c r="C100" s="196" t="s">
        <v>114</v>
      </c>
      <c r="D100" s="94"/>
      <c r="E100" s="93">
        <v>100000.0</v>
      </c>
      <c r="F100" s="94"/>
    </row>
    <row r="101">
      <c r="A101" s="204"/>
      <c r="B101" s="205"/>
      <c r="C101" s="204"/>
      <c r="D101" s="94"/>
      <c r="E101" s="93">
        <v>100000.0</v>
      </c>
      <c r="F101" s="94"/>
    </row>
    <row r="102">
      <c r="A102" s="196" t="s">
        <v>294</v>
      </c>
      <c r="B102" s="197">
        <v>7.57598341E8</v>
      </c>
      <c r="C102" s="196" t="s">
        <v>57</v>
      </c>
      <c r="D102" s="94"/>
      <c r="E102" s="93">
        <v>100000.0</v>
      </c>
      <c r="F102" s="94"/>
    </row>
    <row r="103">
      <c r="A103" s="196" t="s">
        <v>296</v>
      </c>
      <c r="B103" s="197">
        <v>7.05929889E8</v>
      </c>
      <c r="C103" s="196" t="s">
        <v>26</v>
      </c>
      <c r="D103" s="94"/>
      <c r="E103" s="93">
        <v>100000.0</v>
      </c>
      <c r="F103" s="94"/>
    </row>
    <row r="104">
      <c r="A104" s="194"/>
      <c r="B104" s="195"/>
      <c r="C104" s="194"/>
      <c r="D104" s="94"/>
      <c r="E104" s="93">
        <v>100000.0</v>
      </c>
      <c r="F104" s="94"/>
    </row>
    <row r="105">
      <c r="A105" s="200"/>
      <c r="B105" s="201"/>
      <c r="C105" s="200"/>
      <c r="D105" s="94"/>
      <c r="E105" s="93">
        <v>100000.0</v>
      </c>
      <c r="F105" s="94"/>
    </row>
    <row r="106">
      <c r="A106" s="194"/>
      <c r="B106" s="195"/>
      <c r="C106" s="194"/>
      <c r="D106" s="94"/>
      <c r="E106" s="93">
        <v>100000.0</v>
      </c>
      <c r="F106" s="94"/>
    </row>
    <row r="107">
      <c r="A107" s="194"/>
      <c r="B107" s="195"/>
      <c r="C107" s="194"/>
      <c r="D107" s="94"/>
      <c r="E107" s="93">
        <v>100000.0</v>
      </c>
      <c r="F107" s="94"/>
    </row>
    <row r="108">
      <c r="A108" s="196" t="s">
        <v>307</v>
      </c>
      <c r="B108" s="197">
        <v>7.03729645E8</v>
      </c>
      <c r="C108" s="196" t="s">
        <v>143</v>
      </c>
      <c r="D108" s="94"/>
      <c r="E108" s="93">
        <v>100000.0</v>
      </c>
      <c r="F108" s="94"/>
    </row>
    <row r="109">
      <c r="A109" s="196" t="s">
        <v>309</v>
      </c>
      <c r="B109" s="197">
        <v>7.0585965E7</v>
      </c>
      <c r="C109" s="210"/>
      <c r="D109" s="94"/>
      <c r="E109" s="93">
        <v>100000.0</v>
      </c>
      <c r="F109" s="94"/>
    </row>
    <row r="110">
      <c r="A110" s="196" t="s">
        <v>315</v>
      </c>
      <c r="B110" s="197">
        <v>7.64854637E8</v>
      </c>
      <c r="C110" s="196" t="s">
        <v>45</v>
      </c>
      <c r="D110" s="94"/>
      <c r="E110" s="93">
        <v>100000.0</v>
      </c>
      <c r="F110" s="94"/>
    </row>
    <row r="111">
      <c r="A111" s="196" t="s">
        <v>317</v>
      </c>
      <c r="B111" s="197">
        <v>7.41412888E8</v>
      </c>
      <c r="C111" s="196" t="s">
        <v>57</v>
      </c>
      <c r="D111" s="94"/>
      <c r="E111" s="93">
        <v>100000.0</v>
      </c>
      <c r="F111" s="94"/>
    </row>
    <row r="112">
      <c r="A112" s="196" t="s">
        <v>319</v>
      </c>
      <c r="B112" s="197">
        <v>7.00908498E8</v>
      </c>
      <c r="C112" s="196" t="s">
        <v>320</v>
      </c>
      <c r="D112" s="94"/>
      <c r="E112" s="93">
        <v>100000.0</v>
      </c>
      <c r="F112" s="94"/>
    </row>
    <row r="113">
      <c r="A113" s="196" t="s">
        <v>321</v>
      </c>
      <c r="B113" s="197">
        <v>7.50814133E8</v>
      </c>
      <c r="C113" s="196" t="s">
        <v>26</v>
      </c>
      <c r="D113" s="94"/>
      <c r="E113" s="93">
        <v>100000.0</v>
      </c>
      <c r="F113" s="94"/>
    </row>
    <row r="114">
      <c r="A114" s="198" t="s">
        <v>323</v>
      </c>
      <c r="B114" s="199">
        <v>7.07279657E8</v>
      </c>
      <c r="C114" s="198" t="s">
        <v>151</v>
      </c>
      <c r="D114" s="94"/>
      <c r="E114" s="93">
        <v>100000.0</v>
      </c>
      <c r="F114" s="94"/>
    </row>
    <row r="115">
      <c r="A115" s="194"/>
      <c r="B115" s="194"/>
      <c r="C115" s="194"/>
      <c r="D115" s="94"/>
      <c r="E115" s="93">
        <v>100000.0</v>
      </c>
      <c r="F115" s="94"/>
    </row>
    <row r="116">
      <c r="A116" s="196" t="s">
        <v>329</v>
      </c>
      <c r="B116" s="197">
        <v>7.03210366E8</v>
      </c>
      <c r="C116" s="196" t="s">
        <v>26</v>
      </c>
      <c r="D116" s="94"/>
      <c r="E116" s="93">
        <v>100000.0</v>
      </c>
      <c r="F116" s="94"/>
    </row>
    <row r="117">
      <c r="A117" s="196" t="s">
        <v>331</v>
      </c>
      <c r="B117" s="197">
        <v>7.04904602E8</v>
      </c>
      <c r="C117" s="196" t="s">
        <v>26</v>
      </c>
      <c r="D117" s="94"/>
      <c r="E117" s="93">
        <v>100000.0</v>
      </c>
      <c r="F117" s="94"/>
    </row>
    <row r="118">
      <c r="A118" s="196" t="s">
        <v>333</v>
      </c>
      <c r="B118" s="196" t="s">
        <v>334</v>
      </c>
      <c r="C118" s="196" t="s">
        <v>5</v>
      </c>
      <c r="D118" s="94"/>
      <c r="E118" s="93">
        <v>100000.0</v>
      </c>
      <c r="F118" s="94"/>
    </row>
    <row r="119">
      <c r="A119" s="196" t="s">
        <v>335</v>
      </c>
      <c r="B119" s="196" t="s">
        <v>336</v>
      </c>
      <c r="C119" s="196" t="s">
        <v>20</v>
      </c>
      <c r="D119" s="94"/>
      <c r="E119" s="93">
        <v>100000.0</v>
      </c>
      <c r="F119" s="94"/>
    </row>
    <row r="120">
      <c r="A120" s="196" t="s">
        <v>338</v>
      </c>
      <c r="B120" s="197">
        <v>7.55190357E8</v>
      </c>
      <c r="C120" s="196" t="s">
        <v>23</v>
      </c>
      <c r="D120" s="94"/>
      <c r="E120" s="93">
        <v>100000.0</v>
      </c>
      <c r="F120" s="94"/>
    </row>
    <row r="121">
      <c r="A121" s="196" t="s">
        <v>340</v>
      </c>
      <c r="B121" s="197">
        <v>7.57913215E8</v>
      </c>
      <c r="C121" s="196" t="s">
        <v>57</v>
      </c>
      <c r="D121" s="94"/>
      <c r="E121" s="93">
        <v>100000.0</v>
      </c>
      <c r="F121" s="94"/>
    </row>
    <row r="122">
      <c r="A122" s="196" t="s">
        <v>342</v>
      </c>
      <c r="B122" s="197">
        <v>7.65195726E8</v>
      </c>
      <c r="C122" s="196" t="s">
        <v>57</v>
      </c>
      <c r="D122" s="94"/>
      <c r="E122" s="93">
        <v>100000.0</v>
      </c>
      <c r="F122" s="94"/>
    </row>
    <row r="123">
      <c r="A123" s="198" t="s">
        <v>344</v>
      </c>
      <c r="B123" s="199">
        <v>7.57227795E8</v>
      </c>
      <c r="C123" s="198" t="s">
        <v>23</v>
      </c>
      <c r="D123" s="94"/>
      <c r="E123" s="93">
        <v>100000.0</v>
      </c>
      <c r="F123" s="94"/>
    </row>
    <row r="124">
      <c r="A124" s="196" t="s">
        <v>345</v>
      </c>
      <c r="B124" s="197">
        <v>7.75181494E8</v>
      </c>
      <c r="C124" s="196" t="s">
        <v>20</v>
      </c>
      <c r="D124" s="94"/>
      <c r="E124" s="93">
        <v>100000.0</v>
      </c>
      <c r="F124" s="94"/>
    </row>
    <row r="125">
      <c r="A125" s="196" t="s">
        <v>347</v>
      </c>
      <c r="B125" s="197">
        <v>7.46704587E8</v>
      </c>
      <c r="C125" s="196" t="s">
        <v>57</v>
      </c>
      <c r="D125" s="94"/>
      <c r="E125" s="93">
        <v>100000.0</v>
      </c>
      <c r="F125" s="94"/>
    </row>
    <row r="126">
      <c r="A126" s="196" t="s">
        <v>349</v>
      </c>
      <c r="B126" s="197">
        <v>7.50969853E8</v>
      </c>
      <c r="C126" s="196" t="s">
        <v>23</v>
      </c>
      <c r="D126" s="94"/>
      <c r="E126" s="93">
        <v>100000.0</v>
      </c>
      <c r="F126" s="94"/>
    </row>
    <row r="127">
      <c r="A127" s="196" t="s">
        <v>351</v>
      </c>
      <c r="B127" s="197">
        <v>7.04452862E8</v>
      </c>
      <c r="C127" s="196" t="s">
        <v>5</v>
      </c>
      <c r="D127" s="94"/>
      <c r="E127" s="93">
        <v>100000.0</v>
      </c>
      <c r="F127" s="94"/>
    </row>
    <row r="128">
      <c r="A128" s="196" t="s">
        <v>353</v>
      </c>
      <c r="B128" s="197">
        <v>7.01767681E8</v>
      </c>
      <c r="C128" s="196" t="s">
        <v>23</v>
      </c>
      <c r="D128" s="94"/>
      <c r="E128" s="93">
        <v>100000.0</v>
      </c>
      <c r="F128" s="94"/>
    </row>
    <row r="129">
      <c r="A129" s="196" t="s">
        <v>355</v>
      </c>
      <c r="B129" s="197">
        <v>7.55051393E8</v>
      </c>
      <c r="C129" s="196" t="s">
        <v>357</v>
      </c>
      <c r="D129" s="94"/>
      <c r="E129" s="93">
        <v>100000.0</v>
      </c>
      <c r="F129" s="94"/>
    </row>
    <row r="130">
      <c r="A130" s="198" t="s">
        <v>358</v>
      </c>
      <c r="B130" s="199" t="s">
        <v>359</v>
      </c>
      <c r="C130" s="198" t="s">
        <v>83</v>
      </c>
      <c r="D130" s="94"/>
      <c r="E130" s="93">
        <v>100000.0</v>
      </c>
      <c r="F130" s="94"/>
    </row>
    <row r="131">
      <c r="A131" s="204"/>
      <c r="B131" s="205"/>
      <c r="C131" s="204"/>
      <c r="D131" s="94"/>
      <c r="E131" s="93">
        <v>100000.0</v>
      </c>
      <c r="F131" s="94"/>
    </row>
    <row r="132">
      <c r="A132" s="204"/>
      <c r="B132" s="205"/>
      <c r="C132" s="204"/>
      <c r="D132" s="94"/>
      <c r="E132" s="93">
        <v>100000.0</v>
      </c>
      <c r="F132" s="94"/>
    </row>
    <row r="133">
      <c r="A133" s="196" t="s">
        <v>362</v>
      </c>
      <c r="B133" s="197">
        <v>7.45080652E8</v>
      </c>
      <c r="C133" s="196" t="s">
        <v>365</v>
      </c>
      <c r="D133" s="94"/>
      <c r="E133" s="93">
        <v>100000.0</v>
      </c>
      <c r="F133" s="94"/>
    </row>
    <row r="134">
      <c r="A134" s="202"/>
      <c r="B134" s="203"/>
      <c r="C134" s="202"/>
      <c r="D134" s="94"/>
      <c r="E134" s="93">
        <v>100000.0</v>
      </c>
      <c r="F134" s="94"/>
    </row>
    <row r="135">
      <c r="A135" s="196" t="s">
        <v>366</v>
      </c>
      <c r="B135" s="197">
        <v>7.82572721E8</v>
      </c>
      <c r="C135" s="196" t="s">
        <v>26</v>
      </c>
      <c r="D135" s="94"/>
      <c r="E135" s="93">
        <v>100000.0</v>
      </c>
      <c r="F135" s="94"/>
    </row>
    <row r="136">
      <c r="A136" s="200"/>
      <c r="B136" s="201"/>
      <c r="C136" s="200"/>
      <c r="D136" s="94"/>
      <c r="E136" s="93">
        <v>100000.0</v>
      </c>
      <c r="F136" s="94"/>
    </row>
    <row r="137">
      <c r="A137" s="204"/>
      <c r="B137" s="205"/>
      <c r="C137" s="204"/>
      <c r="D137" s="94"/>
      <c r="E137" s="93">
        <v>100000.0</v>
      </c>
      <c r="F137" s="94"/>
    </row>
    <row r="138">
      <c r="A138" s="196" t="s">
        <v>370</v>
      </c>
      <c r="B138" s="197">
        <v>7.59614608E8</v>
      </c>
      <c r="C138" s="196" t="s">
        <v>26</v>
      </c>
      <c r="D138" s="94"/>
      <c r="E138" s="93">
        <v>100000.0</v>
      </c>
      <c r="F138" s="94"/>
    </row>
    <row r="139">
      <c r="A139" s="194"/>
      <c r="B139" s="195"/>
      <c r="C139" s="200"/>
      <c r="D139" s="94"/>
      <c r="E139" s="93">
        <v>100000.0</v>
      </c>
      <c r="F139" s="94"/>
    </row>
    <row r="140">
      <c r="A140" s="200"/>
      <c r="B140" s="201"/>
      <c r="C140" s="200"/>
      <c r="D140" s="94"/>
      <c r="E140" s="93">
        <v>100000.0</v>
      </c>
      <c r="F140" s="94"/>
    </row>
    <row r="141">
      <c r="A141" s="200"/>
      <c r="B141" s="201"/>
      <c r="C141" s="200"/>
      <c r="D141" s="94"/>
      <c r="E141" s="93">
        <v>100000.0</v>
      </c>
      <c r="F141" s="94"/>
    </row>
    <row r="142">
      <c r="A142" s="196" t="s">
        <v>377</v>
      </c>
      <c r="B142" s="197">
        <v>7.51250037E8</v>
      </c>
      <c r="C142" s="196" t="s">
        <v>60</v>
      </c>
      <c r="D142" s="94"/>
      <c r="E142" s="93">
        <v>100000.0</v>
      </c>
      <c r="F142" s="94"/>
    </row>
    <row r="143">
      <c r="A143" s="204"/>
      <c r="B143" s="205"/>
      <c r="C143" s="204"/>
      <c r="D143" s="94"/>
      <c r="E143" s="93">
        <v>100000.0</v>
      </c>
      <c r="F143" s="94"/>
    </row>
    <row r="144">
      <c r="A144" s="196" t="s">
        <v>379</v>
      </c>
      <c r="B144" s="197">
        <v>7.5463552E8</v>
      </c>
      <c r="C144" s="196" t="s">
        <v>26</v>
      </c>
      <c r="D144" s="94"/>
      <c r="E144" s="93">
        <v>100000.0</v>
      </c>
      <c r="F144" s="94"/>
    </row>
    <row r="145">
      <c r="A145" s="196" t="s">
        <v>382</v>
      </c>
      <c r="B145" s="197">
        <v>7.78435098E8</v>
      </c>
      <c r="C145" s="196" t="s">
        <v>5</v>
      </c>
      <c r="D145" s="94"/>
      <c r="E145" s="93">
        <v>100000.0</v>
      </c>
      <c r="F145" s="94"/>
    </row>
    <row r="146">
      <c r="A146" s="204"/>
      <c r="B146" s="205"/>
      <c r="C146" s="204"/>
      <c r="D146" s="94"/>
      <c r="E146" s="93">
        <v>100000.0</v>
      </c>
      <c r="F146" s="94"/>
    </row>
    <row r="147">
      <c r="A147" s="200"/>
      <c r="B147" s="201"/>
      <c r="C147" s="200"/>
      <c r="D147" s="94"/>
      <c r="E147" s="93">
        <v>100000.0</v>
      </c>
      <c r="F147" s="94"/>
    </row>
    <row r="148">
      <c r="A148" s="196" t="s">
        <v>386</v>
      </c>
      <c r="B148" s="197">
        <v>7.56160097E8</v>
      </c>
      <c r="C148" s="196" t="s">
        <v>45</v>
      </c>
      <c r="D148" s="94"/>
      <c r="E148" s="93">
        <v>100000.0</v>
      </c>
      <c r="F148" s="94"/>
    </row>
    <row r="149">
      <c r="A149" s="196" t="s">
        <v>387</v>
      </c>
      <c r="B149" s="197">
        <v>7.55382271E8</v>
      </c>
      <c r="C149" s="196" t="s">
        <v>143</v>
      </c>
      <c r="D149" s="94"/>
      <c r="E149" s="93">
        <v>100000.0</v>
      </c>
      <c r="F149" s="94"/>
    </row>
    <row r="150">
      <c r="A150" s="204"/>
      <c r="B150" s="205"/>
      <c r="C150" s="204"/>
      <c r="D150" s="94"/>
      <c r="E150" s="93">
        <v>100000.0</v>
      </c>
      <c r="F150" s="94"/>
    </row>
    <row r="151">
      <c r="A151" s="196" t="s">
        <v>389</v>
      </c>
      <c r="B151" s="197">
        <v>7.84543261E8</v>
      </c>
      <c r="C151" s="196" t="s">
        <v>391</v>
      </c>
      <c r="D151" s="94"/>
      <c r="E151" s="93">
        <v>100000.0</v>
      </c>
      <c r="F151" s="94"/>
    </row>
    <row r="152">
      <c r="A152" s="196" t="s">
        <v>392</v>
      </c>
      <c r="B152" s="197" t="s">
        <v>393</v>
      </c>
      <c r="C152" s="196" t="s">
        <v>57</v>
      </c>
      <c r="D152" s="94"/>
      <c r="E152" s="93">
        <v>100000.0</v>
      </c>
      <c r="F152" s="94"/>
    </row>
    <row r="153">
      <c r="A153" s="200"/>
      <c r="B153" s="201"/>
      <c r="C153" s="200"/>
      <c r="D153" s="94"/>
      <c r="E153" s="93">
        <v>100000.0</v>
      </c>
      <c r="F153" s="94"/>
    </row>
    <row r="154">
      <c r="A154" s="194"/>
      <c r="B154" s="195"/>
      <c r="C154" s="194"/>
      <c r="D154" s="94"/>
      <c r="E154" s="93">
        <v>100000.0</v>
      </c>
      <c r="F154" s="94"/>
    </row>
    <row r="155">
      <c r="A155" s="204"/>
      <c r="B155" s="205"/>
      <c r="C155" s="204"/>
      <c r="D155" s="94"/>
      <c r="E155" s="93">
        <v>100000.0</v>
      </c>
      <c r="F155" s="94"/>
    </row>
    <row r="156">
      <c r="A156" s="196" t="s">
        <v>400</v>
      </c>
      <c r="B156" s="197">
        <v>7.00806134E8</v>
      </c>
      <c r="C156" s="196" t="s">
        <v>26</v>
      </c>
      <c r="D156" s="94"/>
      <c r="E156" s="93">
        <v>100000.0</v>
      </c>
      <c r="F156" s="94"/>
    </row>
    <row r="157">
      <c r="A157" s="194"/>
      <c r="B157" s="201"/>
      <c r="C157" s="200"/>
      <c r="D157" s="94"/>
      <c r="E157" s="93">
        <v>100000.0</v>
      </c>
      <c r="F157" s="94"/>
    </row>
    <row r="158">
      <c r="A158" s="196" t="s">
        <v>404</v>
      </c>
      <c r="B158" s="197">
        <v>7.721872E8</v>
      </c>
      <c r="C158" s="196" t="s">
        <v>57</v>
      </c>
      <c r="D158" s="94"/>
      <c r="E158" s="93">
        <v>100000.0</v>
      </c>
      <c r="F158" s="94"/>
    </row>
    <row r="159">
      <c r="A159" s="196" t="s">
        <v>406</v>
      </c>
      <c r="B159" s="206">
        <v>7.09645027E8</v>
      </c>
      <c r="C159" s="196" t="s">
        <v>408</v>
      </c>
      <c r="D159" s="94"/>
      <c r="E159" s="93">
        <v>100000.0</v>
      </c>
      <c r="F159" s="94"/>
    </row>
    <row r="160">
      <c r="A160" s="196" t="s">
        <v>409</v>
      </c>
      <c r="B160" s="197">
        <v>7.66319767E8</v>
      </c>
      <c r="C160" s="196" t="s">
        <v>60</v>
      </c>
      <c r="D160" s="94"/>
      <c r="E160" s="93">
        <v>100000.0</v>
      </c>
      <c r="F160" s="94"/>
    </row>
    <row r="161">
      <c r="A161" s="194"/>
      <c r="B161" s="195"/>
      <c r="C161" s="194"/>
      <c r="D161" s="94"/>
      <c r="E161" s="93">
        <v>100000.0</v>
      </c>
      <c r="F161" s="94"/>
    </row>
    <row r="162">
      <c r="A162" s="196" t="s">
        <v>412</v>
      </c>
      <c r="B162" s="197">
        <v>7.09505386E8</v>
      </c>
      <c r="C162" s="196" t="s">
        <v>26</v>
      </c>
      <c r="D162" s="94"/>
      <c r="E162" s="93">
        <v>100000.0</v>
      </c>
      <c r="F162" s="94"/>
    </row>
    <row r="163">
      <c r="A163" s="196" t="s">
        <v>414</v>
      </c>
      <c r="B163" s="197">
        <v>7.56370143E8</v>
      </c>
      <c r="C163" s="196" t="s">
        <v>26</v>
      </c>
      <c r="D163" s="94"/>
      <c r="E163" s="93">
        <v>100000.0</v>
      </c>
      <c r="F163" s="94"/>
    </row>
    <row r="164">
      <c r="A164" s="200"/>
      <c r="B164" s="200"/>
      <c r="C164" s="200"/>
      <c r="D164" s="94"/>
      <c r="E164" s="93">
        <v>100000.0</v>
      </c>
      <c r="F164" s="94"/>
    </row>
    <row r="165">
      <c r="A165" s="194"/>
      <c r="B165" s="195"/>
      <c r="C165" s="194"/>
      <c r="D165" s="94"/>
      <c r="E165" s="93">
        <v>100000.0</v>
      </c>
      <c r="F165" s="94"/>
    </row>
    <row r="166">
      <c r="A166" s="196" t="s">
        <v>420</v>
      </c>
      <c r="B166" s="197">
        <v>7.549950666E9</v>
      </c>
      <c r="C166" s="196" t="s">
        <v>23</v>
      </c>
      <c r="D166" s="94"/>
      <c r="E166" s="93">
        <v>100000.0</v>
      </c>
      <c r="F166" s="94"/>
    </row>
    <row r="167">
      <c r="A167" s="196" t="s">
        <v>422</v>
      </c>
      <c r="B167" s="197">
        <v>7.41966674E8</v>
      </c>
      <c r="C167" s="196" t="s">
        <v>26</v>
      </c>
      <c r="D167" s="94"/>
      <c r="E167" s="93">
        <v>100000.0</v>
      </c>
      <c r="F167" s="94"/>
    </row>
    <row r="168">
      <c r="A168" s="196" t="s">
        <v>424</v>
      </c>
      <c r="B168" s="197">
        <v>7.52559281E8</v>
      </c>
      <c r="C168" s="196" t="s">
        <v>23</v>
      </c>
      <c r="D168" s="94"/>
      <c r="E168" s="93">
        <v>100000.0</v>
      </c>
      <c r="F168" s="94"/>
    </row>
    <row r="169">
      <c r="A169" s="196" t="s">
        <v>425</v>
      </c>
      <c r="B169" s="197">
        <v>7.09728452E8</v>
      </c>
      <c r="C169" s="196" t="s">
        <v>26</v>
      </c>
      <c r="D169" s="94"/>
      <c r="E169" s="93">
        <v>100000.0</v>
      </c>
      <c r="F169" s="94"/>
    </row>
    <row r="170">
      <c r="A170" s="196" t="s">
        <v>427</v>
      </c>
      <c r="B170" s="197">
        <v>7.78350334E8</v>
      </c>
      <c r="C170" s="196" t="s">
        <v>26</v>
      </c>
      <c r="D170" s="94"/>
      <c r="E170" s="93">
        <v>100000.0</v>
      </c>
      <c r="F170" s="94"/>
    </row>
    <row r="171">
      <c r="A171" s="196" t="s">
        <v>429</v>
      </c>
      <c r="B171" s="197">
        <v>7.08021077E8</v>
      </c>
      <c r="C171" s="196" t="s">
        <v>23</v>
      </c>
      <c r="D171" s="94"/>
      <c r="E171" s="93">
        <v>100000.0</v>
      </c>
      <c r="F171" s="94"/>
    </row>
    <row r="172">
      <c r="A172" s="196" t="s">
        <v>430</v>
      </c>
      <c r="B172" s="196" t="s">
        <v>431</v>
      </c>
      <c r="C172" s="196" t="s">
        <v>433</v>
      </c>
      <c r="D172" s="94"/>
      <c r="E172" s="93">
        <v>100000.0</v>
      </c>
      <c r="F172" s="94"/>
    </row>
    <row r="173">
      <c r="A173" s="196" t="s">
        <v>434</v>
      </c>
      <c r="B173" s="196" t="s">
        <v>435</v>
      </c>
      <c r="C173" s="196" t="s">
        <v>23</v>
      </c>
      <c r="D173" s="94"/>
      <c r="E173" s="93">
        <v>100000.0</v>
      </c>
      <c r="F173" s="94"/>
    </row>
    <row r="174">
      <c r="A174" s="196" t="s">
        <v>437</v>
      </c>
      <c r="B174" s="197">
        <v>7.4263383E8</v>
      </c>
      <c r="C174" s="196" t="s">
        <v>143</v>
      </c>
      <c r="D174" s="94"/>
      <c r="E174" s="93">
        <v>100000.0</v>
      </c>
      <c r="F174" s="94"/>
    </row>
    <row r="175">
      <c r="A175" s="196" t="s">
        <v>439</v>
      </c>
      <c r="B175" s="197">
        <v>7.04623536E8</v>
      </c>
      <c r="C175" s="210"/>
      <c r="D175" s="94"/>
      <c r="E175" s="93">
        <v>100000.0</v>
      </c>
      <c r="F175" s="94"/>
    </row>
    <row r="176">
      <c r="A176" s="196" t="s">
        <v>440</v>
      </c>
      <c r="B176" s="197">
        <v>7.44032727E8</v>
      </c>
      <c r="C176" s="196" t="s">
        <v>442</v>
      </c>
      <c r="D176" s="94"/>
      <c r="E176" s="93">
        <v>100000.0</v>
      </c>
      <c r="F176" s="94"/>
    </row>
    <row r="177">
      <c r="A177" s="196" t="s">
        <v>443</v>
      </c>
      <c r="B177" s="197">
        <v>7.46229786E8</v>
      </c>
      <c r="C177" s="196" t="s">
        <v>26</v>
      </c>
      <c r="D177" s="94"/>
      <c r="E177" s="93">
        <v>100000.0</v>
      </c>
      <c r="F177" s="94"/>
    </row>
    <row r="178">
      <c r="A178" s="196" t="s">
        <v>445</v>
      </c>
      <c r="B178" s="197">
        <v>7.00136264E8</v>
      </c>
      <c r="C178" s="196" t="s">
        <v>23</v>
      </c>
      <c r="D178" s="94"/>
      <c r="E178" s="93">
        <v>100000.0</v>
      </c>
      <c r="F178" s="94"/>
    </row>
    <row r="179">
      <c r="A179" s="200"/>
      <c r="B179" s="201"/>
      <c r="C179" s="200"/>
      <c r="D179" s="94"/>
      <c r="E179" s="93">
        <v>100000.0</v>
      </c>
      <c r="F179" s="94"/>
    </row>
    <row r="180">
      <c r="A180" s="196" t="s">
        <v>449</v>
      </c>
      <c r="B180" s="197">
        <v>7.42164403E8</v>
      </c>
      <c r="C180" s="196" t="s">
        <v>198</v>
      </c>
      <c r="D180" s="94"/>
      <c r="E180" s="93">
        <v>100000.0</v>
      </c>
      <c r="F180" s="94"/>
    </row>
    <row r="181">
      <c r="A181" s="196" t="s">
        <v>451</v>
      </c>
      <c r="B181" s="197">
        <v>7.01582839E8</v>
      </c>
      <c r="C181" s="196" t="s">
        <v>128</v>
      </c>
      <c r="D181" s="94"/>
      <c r="E181" s="93">
        <v>100000.0</v>
      </c>
      <c r="F181" s="94"/>
    </row>
    <row r="182">
      <c r="A182" s="204"/>
      <c r="B182" s="205"/>
      <c r="C182" s="204"/>
      <c r="D182" s="94"/>
      <c r="E182" s="93">
        <v>100000.0</v>
      </c>
      <c r="F182" s="94"/>
    </row>
    <row r="183">
      <c r="A183" s="194"/>
      <c r="B183" s="200"/>
      <c r="C183" s="194"/>
      <c r="D183" s="94"/>
      <c r="E183" s="93">
        <v>100000.0</v>
      </c>
      <c r="F183" s="94"/>
    </row>
    <row r="184">
      <c r="A184" s="194"/>
      <c r="B184" s="195"/>
      <c r="C184" s="194"/>
      <c r="D184" s="94"/>
      <c r="E184" s="93">
        <v>100000.0</v>
      </c>
      <c r="F184" s="94"/>
    </row>
    <row r="185">
      <c r="A185" s="196" t="s">
        <v>456</v>
      </c>
      <c r="B185" s="197">
        <v>7.05477813E8</v>
      </c>
      <c r="C185" s="196" t="s">
        <v>26</v>
      </c>
      <c r="D185" s="94"/>
      <c r="E185" s="93">
        <v>100000.0</v>
      </c>
      <c r="F185" s="94"/>
    </row>
    <row r="186">
      <c r="A186" s="194"/>
      <c r="B186" s="195"/>
      <c r="C186" s="194"/>
      <c r="D186" s="94"/>
      <c r="E186" s="93">
        <v>100000.0</v>
      </c>
      <c r="F186" s="94"/>
    </row>
    <row r="187">
      <c r="A187" s="196" t="s">
        <v>461</v>
      </c>
      <c r="B187" s="197">
        <v>7.52098257E8</v>
      </c>
      <c r="C187" s="196" t="s">
        <v>23</v>
      </c>
      <c r="D187" s="94"/>
      <c r="E187" s="93">
        <v>100000.0</v>
      </c>
      <c r="F187" s="94"/>
    </row>
    <row r="188">
      <c r="A188" s="196" t="s">
        <v>464</v>
      </c>
      <c r="B188" s="197">
        <v>7.07602032E8</v>
      </c>
      <c r="C188" s="196" t="s">
        <v>26</v>
      </c>
      <c r="D188" s="94"/>
      <c r="E188" s="93">
        <v>100000.0</v>
      </c>
      <c r="F188" s="94"/>
    </row>
    <row r="189">
      <c r="A189" s="196" t="s">
        <v>466</v>
      </c>
      <c r="B189" s="197">
        <v>7.04068112E8</v>
      </c>
      <c r="C189" s="196" t="s">
        <v>60</v>
      </c>
      <c r="D189" s="94"/>
      <c r="E189" s="93">
        <v>100000.0</v>
      </c>
      <c r="F189" s="94"/>
    </row>
    <row r="190">
      <c r="A190" s="196" t="s">
        <v>468</v>
      </c>
      <c r="B190" s="197">
        <v>7.04862597E8</v>
      </c>
      <c r="C190" s="196" t="s">
        <v>23</v>
      </c>
      <c r="D190" s="94"/>
      <c r="E190" s="93">
        <v>100000.0</v>
      </c>
      <c r="F190" s="94"/>
    </row>
    <row r="191">
      <c r="A191" s="196" t="s">
        <v>470</v>
      </c>
      <c r="B191" s="197">
        <v>7.0547234E8</v>
      </c>
      <c r="C191" s="196" t="s">
        <v>26</v>
      </c>
      <c r="D191" s="94"/>
      <c r="E191" s="93">
        <v>100000.0</v>
      </c>
      <c r="F191" s="94"/>
    </row>
    <row r="192">
      <c r="A192" s="196" t="s">
        <v>472</v>
      </c>
      <c r="B192" s="197">
        <v>7.52240517E8</v>
      </c>
      <c r="C192" s="196" t="s">
        <v>114</v>
      </c>
      <c r="D192" s="94"/>
      <c r="E192" s="93">
        <v>100000.0</v>
      </c>
      <c r="F192" s="94"/>
    </row>
    <row r="193">
      <c r="A193" s="196" t="s">
        <v>474</v>
      </c>
      <c r="B193" s="197">
        <v>7.44249064E8</v>
      </c>
      <c r="C193" s="196" t="s">
        <v>23</v>
      </c>
      <c r="D193" s="94"/>
      <c r="E193" s="93">
        <v>100000.0</v>
      </c>
      <c r="F193" s="94"/>
    </row>
    <row r="194">
      <c r="A194" s="204"/>
      <c r="B194" s="205"/>
      <c r="C194" s="204"/>
      <c r="D194" s="94"/>
      <c r="E194" s="93">
        <v>100000.0</v>
      </c>
      <c r="F194" s="94"/>
    </row>
    <row r="195">
      <c r="A195" s="196" t="s">
        <v>475</v>
      </c>
      <c r="B195" s="206">
        <v>7.56277249E8</v>
      </c>
      <c r="C195" s="196" t="s">
        <v>477</v>
      </c>
      <c r="D195" s="94"/>
      <c r="E195" s="93">
        <v>100000.0</v>
      </c>
      <c r="F195" s="94"/>
    </row>
    <row r="196">
      <c r="A196" s="196" t="s">
        <v>478</v>
      </c>
      <c r="B196" s="197">
        <v>7.41404687E8</v>
      </c>
      <c r="C196" s="196" t="s">
        <v>26</v>
      </c>
      <c r="D196" s="94"/>
      <c r="E196" s="93">
        <v>100000.0</v>
      </c>
      <c r="F196" s="94"/>
    </row>
    <row r="197">
      <c r="A197" s="196" t="s">
        <v>479</v>
      </c>
      <c r="B197" s="196" t="s">
        <v>480</v>
      </c>
      <c r="C197" s="196" t="s">
        <v>482</v>
      </c>
      <c r="D197" s="94"/>
      <c r="E197" s="93">
        <v>100000.0</v>
      </c>
      <c r="F197" s="94"/>
    </row>
    <row r="198">
      <c r="A198" s="196" t="s">
        <v>483</v>
      </c>
      <c r="B198" s="197">
        <v>7.08122653E8</v>
      </c>
      <c r="C198" s="196" t="s">
        <v>128</v>
      </c>
      <c r="D198" s="94"/>
      <c r="E198" s="93">
        <v>100000.0</v>
      </c>
      <c r="F198" s="94"/>
    </row>
    <row r="199">
      <c r="A199" s="196" t="s">
        <v>485</v>
      </c>
      <c r="B199" s="197">
        <v>7.8910837E8</v>
      </c>
      <c r="C199" s="196" t="s">
        <v>26</v>
      </c>
      <c r="D199" s="94"/>
      <c r="E199" s="93">
        <v>100000.0</v>
      </c>
      <c r="F199" s="94"/>
    </row>
    <row r="200">
      <c r="A200" s="204"/>
      <c r="B200" s="205"/>
      <c r="C200" s="204"/>
      <c r="D200" s="94"/>
      <c r="E200" s="93">
        <v>100000.0</v>
      </c>
      <c r="F200" s="94"/>
    </row>
    <row r="201">
      <c r="A201" s="196" t="s">
        <v>487</v>
      </c>
      <c r="B201" s="197">
        <v>7.67522502E8</v>
      </c>
      <c r="C201" s="196" t="s">
        <v>489</v>
      </c>
      <c r="D201" s="94"/>
      <c r="E201" s="93">
        <v>100000.0</v>
      </c>
      <c r="F201" s="94"/>
    </row>
    <row r="202">
      <c r="A202" s="196" t="s">
        <v>490</v>
      </c>
      <c r="B202" s="197">
        <v>7.00730759E8</v>
      </c>
      <c r="C202" s="196" t="s">
        <v>26</v>
      </c>
      <c r="D202" s="94"/>
      <c r="E202" s="93">
        <v>100000.0</v>
      </c>
      <c r="F202" s="94"/>
    </row>
    <row r="203">
      <c r="A203" s="198" t="s">
        <v>492</v>
      </c>
      <c r="B203" s="199">
        <v>7.57541944E8</v>
      </c>
      <c r="C203" s="198" t="s">
        <v>151</v>
      </c>
      <c r="D203" s="94"/>
      <c r="E203" s="93">
        <v>100000.0</v>
      </c>
      <c r="F203" s="94"/>
    </row>
    <row r="204">
      <c r="A204" s="196" t="s">
        <v>493</v>
      </c>
      <c r="B204" s="197">
        <v>7.46194197E8</v>
      </c>
      <c r="C204" s="196" t="s">
        <v>26</v>
      </c>
      <c r="D204" s="94"/>
      <c r="E204" s="93">
        <v>100000.0</v>
      </c>
      <c r="F204" s="94"/>
    </row>
    <row r="205">
      <c r="A205" s="196" t="s">
        <v>495</v>
      </c>
      <c r="B205" s="197">
        <v>7.51889236E8</v>
      </c>
      <c r="C205" s="196" t="s">
        <v>60</v>
      </c>
      <c r="D205" s="94"/>
      <c r="E205" s="93">
        <v>100000.0</v>
      </c>
      <c r="F205" s="94"/>
    </row>
    <row r="206">
      <c r="A206" s="196" t="s">
        <v>498</v>
      </c>
      <c r="B206" s="206">
        <v>7.50680009E8</v>
      </c>
      <c r="C206" s="196" t="s">
        <v>8</v>
      </c>
      <c r="D206" s="94"/>
      <c r="E206" s="93">
        <v>100000.0</v>
      </c>
      <c r="F206" s="94"/>
    </row>
    <row r="207">
      <c r="A207" s="196" t="s">
        <v>501</v>
      </c>
      <c r="B207" s="206">
        <v>7.08457747E8</v>
      </c>
      <c r="C207" s="196" t="s">
        <v>502</v>
      </c>
      <c r="D207" s="94"/>
      <c r="E207" s="93">
        <v>100000.0</v>
      </c>
      <c r="F207" s="94"/>
    </row>
    <row r="208">
      <c r="A208" s="196" t="s">
        <v>503</v>
      </c>
      <c r="B208" s="197">
        <v>7.02196152E8</v>
      </c>
      <c r="C208" s="196" t="s">
        <v>26</v>
      </c>
      <c r="D208" s="94"/>
      <c r="E208" s="93">
        <v>100000.0</v>
      </c>
      <c r="F208" s="94"/>
    </row>
    <row r="209">
      <c r="A209" s="196" t="s">
        <v>505</v>
      </c>
      <c r="B209" s="197">
        <v>7.53993328E8</v>
      </c>
      <c r="C209" s="196" t="s">
        <v>83</v>
      </c>
      <c r="D209" s="94"/>
      <c r="E209" s="93">
        <v>100000.0</v>
      </c>
      <c r="F209" s="94"/>
    </row>
    <row r="210">
      <c r="A210" s="196" t="s">
        <v>507</v>
      </c>
      <c r="B210" s="197">
        <v>7.40922356E8</v>
      </c>
      <c r="C210" s="196" t="s">
        <v>57</v>
      </c>
      <c r="D210" s="94"/>
      <c r="E210" s="93">
        <v>100000.0</v>
      </c>
      <c r="F210" s="94"/>
    </row>
    <row r="211">
      <c r="A211" s="196" t="s">
        <v>509</v>
      </c>
      <c r="B211" s="197">
        <v>7.08699343E8</v>
      </c>
      <c r="C211" s="196" t="s">
        <v>57</v>
      </c>
      <c r="D211" s="94"/>
      <c r="E211" s="93">
        <v>100000.0</v>
      </c>
      <c r="F211" s="94"/>
    </row>
    <row r="212">
      <c r="A212" s="196" t="s">
        <v>511</v>
      </c>
      <c r="B212" s="197">
        <v>7.58444731E8</v>
      </c>
      <c r="C212" s="196" t="s">
        <v>23</v>
      </c>
      <c r="D212" s="94"/>
      <c r="E212" s="93">
        <v>100000.0</v>
      </c>
      <c r="F212" s="94"/>
    </row>
    <row r="213">
      <c r="A213" s="196" t="s">
        <v>513</v>
      </c>
      <c r="B213" s="197">
        <v>7.0428095E8</v>
      </c>
      <c r="C213" s="196" t="s">
        <v>114</v>
      </c>
      <c r="D213" s="94"/>
      <c r="E213" s="93">
        <v>100000.0</v>
      </c>
      <c r="F213" s="94"/>
    </row>
    <row r="214">
      <c r="A214" s="196" t="s">
        <v>515</v>
      </c>
      <c r="B214" s="197">
        <v>7.00799585E8</v>
      </c>
      <c r="C214" s="196" t="s">
        <v>198</v>
      </c>
      <c r="D214" s="94"/>
      <c r="E214" s="93">
        <v>100000.0</v>
      </c>
      <c r="F214" s="94"/>
    </row>
    <row r="215">
      <c r="A215" s="196" t="s">
        <v>517</v>
      </c>
      <c r="B215" s="196" t="s">
        <v>518</v>
      </c>
      <c r="C215" s="196" t="s">
        <v>26</v>
      </c>
      <c r="D215" s="94"/>
      <c r="E215" s="93">
        <v>100000.0</v>
      </c>
      <c r="F215" s="94"/>
    </row>
    <row r="216">
      <c r="A216" s="204"/>
      <c r="B216" s="205"/>
      <c r="C216" s="204"/>
      <c r="D216" s="94"/>
      <c r="E216" s="93">
        <v>100000.0</v>
      </c>
      <c r="F216" s="94"/>
    </row>
    <row r="217">
      <c r="A217" s="196" t="s">
        <v>520</v>
      </c>
      <c r="B217" s="206">
        <v>7.88847984E8</v>
      </c>
      <c r="C217" s="196" t="s">
        <v>477</v>
      </c>
      <c r="D217" s="94"/>
      <c r="E217" s="93">
        <v>100000.0</v>
      </c>
      <c r="F217" s="94"/>
    </row>
    <row r="218">
      <c r="A218" s="196" t="s">
        <v>522</v>
      </c>
      <c r="B218" s="196" t="s">
        <v>523</v>
      </c>
      <c r="C218" s="196" t="s">
        <v>26</v>
      </c>
      <c r="D218" s="94"/>
      <c r="E218" s="93">
        <v>100000.0</v>
      </c>
      <c r="F218" s="94"/>
    </row>
    <row r="219">
      <c r="A219" s="196" t="s">
        <v>525</v>
      </c>
      <c r="B219" s="197">
        <v>7.64796607E8</v>
      </c>
      <c r="C219" s="196" t="s">
        <v>54</v>
      </c>
      <c r="D219" s="94"/>
      <c r="E219" s="93">
        <v>100000.0</v>
      </c>
      <c r="F219" s="94"/>
    </row>
    <row r="220">
      <c r="A220" s="196" t="s">
        <v>526</v>
      </c>
      <c r="B220" s="197">
        <v>7.59422624E8</v>
      </c>
      <c r="C220" s="196" t="s">
        <v>57</v>
      </c>
      <c r="D220" s="94"/>
      <c r="E220" s="93">
        <v>100000.0</v>
      </c>
      <c r="F220" s="94"/>
    </row>
    <row r="221">
      <c r="A221" s="196" t="s">
        <v>528</v>
      </c>
      <c r="B221" s="197">
        <v>7.4572846E8</v>
      </c>
      <c r="C221" s="196" t="s">
        <v>26</v>
      </c>
      <c r="D221" s="94"/>
      <c r="E221" s="93">
        <v>100000.0</v>
      </c>
      <c r="F221" s="94"/>
    </row>
    <row r="222">
      <c r="A222" s="196" t="s">
        <v>530</v>
      </c>
      <c r="B222" s="196" t="s">
        <v>531</v>
      </c>
      <c r="C222" s="196" t="s">
        <v>45</v>
      </c>
      <c r="D222" s="94"/>
      <c r="E222" s="93">
        <v>100000.0</v>
      </c>
      <c r="F222" s="94"/>
    </row>
    <row r="223">
      <c r="A223" s="196" t="s">
        <v>534</v>
      </c>
      <c r="B223" s="197">
        <v>7.02817292E8</v>
      </c>
      <c r="C223" s="196" t="s">
        <v>23</v>
      </c>
      <c r="D223" s="94"/>
      <c r="E223" s="93">
        <v>100000.0</v>
      </c>
      <c r="F223" s="94"/>
    </row>
    <row r="224">
      <c r="A224" s="204"/>
      <c r="B224" s="205"/>
      <c r="C224" s="204"/>
      <c r="D224" s="94"/>
      <c r="E224" s="93">
        <v>100000.0</v>
      </c>
      <c r="F224" s="94"/>
    </row>
    <row r="225">
      <c r="A225" s="196" t="s">
        <v>535</v>
      </c>
      <c r="B225" s="197">
        <v>7.85269323E8</v>
      </c>
      <c r="C225" s="196" t="s">
        <v>198</v>
      </c>
      <c r="D225" s="94"/>
      <c r="E225" s="93">
        <v>100000.0</v>
      </c>
      <c r="F225" s="94"/>
    </row>
    <row r="226">
      <c r="A226" s="196" t="s">
        <v>537</v>
      </c>
      <c r="B226" s="206">
        <v>7.40405132E8</v>
      </c>
      <c r="C226" s="196" t="s">
        <v>11</v>
      </c>
      <c r="D226" s="94"/>
      <c r="E226" s="93">
        <v>100000.0</v>
      </c>
      <c r="F226" s="94"/>
    </row>
    <row r="227">
      <c r="A227" s="196" t="s">
        <v>539</v>
      </c>
      <c r="B227" s="196" t="s">
        <v>540</v>
      </c>
      <c r="C227" s="196" t="s">
        <v>57</v>
      </c>
      <c r="D227" s="94"/>
      <c r="E227" s="93">
        <v>100000.0</v>
      </c>
      <c r="F227" s="94"/>
    </row>
    <row r="228">
      <c r="A228" s="200"/>
      <c r="B228" s="201"/>
      <c r="C228" s="200"/>
      <c r="D228" s="94"/>
      <c r="E228" s="93">
        <v>100000.0</v>
      </c>
      <c r="F228" s="94"/>
    </row>
    <row r="229">
      <c r="A229" s="196" t="s">
        <v>544</v>
      </c>
      <c r="B229" s="197">
        <v>7.52732332E8</v>
      </c>
      <c r="C229" s="196" t="s">
        <v>23</v>
      </c>
      <c r="D229" s="94"/>
      <c r="E229" s="93">
        <v>100000.0</v>
      </c>
      <c r="F229" s="94"/>
    </row>
    <row r="230">
      <c r="A230" s="200"/>
      <c r="B230" s="201"/>
      <c r="C230" s="200"/>
      <c r="D230" s="94"/>
      <c r="E230" s="93">
        <v>100000.0</v>
      </c>
      <c r="F230" s="94"/>
    </row>
    <row r="231">
      <c r="A231" s="196" t="s">
        <v>549</v>
      </c>
      <c r="B231" s="196" t="s">
        <v>550</v>
      </c>
      <c r="C231" s="196" t="s">
        <v>23</v>
      </c>
      <c r="D231" s="94"/>
      <c r="E231" s="93">
        <v>100000.0</v>
      </c>
      <c r="F231" s="94"/>
    </row>
    <row r="232">
      <c r="A232" s="204"/>
      <c r="B232" s="205"/>
      <c r="C232" s="204"/>
      <c r="D232" s="94"/>
      <c r="E232" s="93">
        <v>100000.0</v>
      </c>
      <c r="F232" s="94"/>
    </row>
    <row r="233">
      <c r="A233" s="200"/>
      <c r="B233" s="201"/>
      <c r="C233" s="200"/>
      <c r="D233" s="94"/>
      <c r="E233" s="93">
        <v>100000.0</v>
      </c>
      <c r="F233" s="94"/>
    </row>
    <row r="234">
      <c r="A234" s="204"/>
      <c r="B234" s="205"/>
      <c r="C234" s="204"/>
      <c r="D234" s="94"/>
      <c r="E234" s="93">
        <v>100000.0</v>
      </c>
      <c r="F234" s="94"/>
    </row>
    <row r="235">
      <c r="A235" s="204"/>
      <c r="B235" s="205"/>
      <c r="C235" s="204"/>
      <c r="D235" s="94"/>
      <c r="E235" s="93">
        <v>100000.0</v>
      </c>
      <c r="F235" s="94"/>
    </row>
    <row r="236">
      <c r="A236" s="196" t="s">
        <v>556</v>
      </c>
      <c r="B236" s="197">
        <v>7.57772129E8</v>
      </c>
      <c r="C236" s="196" t="s">
        <v>234</v>
      </c>
      <c r="D236" s="94"/>
      <c r="E236" s="93">
        <v>100000.0</v>
      </c>
      <c r="F236" s="94"/>
    </row>
    <row r="237">
      <c r="A237" s="196" t="s">
        <v>558</v>
      </c>
      <c r="B237" s="197">
        <v>7.06988323E8</v>
      </c>
      <c r="C237" s="196" t="s">
        <v>198</v>
      </c>
      <c r="D237" s="94"/>
      <c r="E237" s="93">
        <v>100000.0</v>
      </c>
      <c r="F237" s="94"/>
    </row>
    <row r="238">
      <c r="A238" s="196" t="s">
        <v>559</v>
      </c>
      <c r="B238" s="197">
        <v>7.77236677E8</v>
      </c>
      <c r="C238" s="196" t="s">
        <v>26</v>
      </c>
      <c r="D238" s="94"/>
      <c r="E238" s="93">
        <v>100000.0</v>
      </c>
      <c r="F238" s="94"/>
    </row>
    <row r="239">
      <c r="A239" s="196" t="s">
        <v>561</v>
      </c>
      <c r="B239" s="197">
        <v>7.46254432E8</v>
      </c>
      <c r="C239" s="196" t="s">
        <v>23</v>
      </c>
      <c r="D239" s="94"/>
      <c r="E239" s="93">
        <v>100000.0</v>
      </c>
      <c r="F239" s="94"/>
    </row>
    <row r="240">
      <c r="A240" s="194"/>
      <c r="B240" s="195"/>
      <c r="C240" s="194"/>
      <c r="D240" s="94"/>
      <c r="E240" s="93">
        <v>100000.0</v>
      </c>
      <c r="F240" s="94"/>
    </row>
    <row r="241">
      <c r="A241" s="196" t="s">
        <v>565</v>
      </c>
      <c r="B241" s="197">
        <v>7.84737335E8</v>
      </c>
      <c r="C241" s="196" t="s">
        <v>26</v>
      </c>
      <c r="D241" s="94"/>
      <c r="E241" s="93">
        <v>100000.0</v>
      </c>
      <c r="F241" s="94"/>
    </row>
    <row r="242">
      <c r="A242" s="194"/>
      <c r="B242" s="195"/>
      <c r="C242" s="194"/>
      <c r="D242" s="94"/>
      <c r="E242" s="93">
        <v>100000.0</v>
      </c>
      <c r="F242" s="94"/>
    </row>
    <row r="243">
      <c r="A243" s="196" t="s">
        <v>569</v>
      </c>
      <c r="B243" s="197">
        <v>7.52645409E8</v>
      </c>
      <c r="C243" s="196" t="s">
        <v>57</v>
      </c>
      <c r="D243" s="94"/>
      <c r="E243" s="93">
        <v>100000.0</v>
      </c>
      <c r="F243" s="94"/>
    </row>
    <row r="244">
      <c r="A244" s="202"/>
      <c r="B244" s="203"/>
      <c r="C244" s="202"/>
      <c r="D244" s="94"/>
      <c r="E244" s="93">
        <v>100000.0</v>
      </c>
      <c r="F244" s="94"/>
    </row>
    <row r="245">
      <c r="A245" s="198" t="s">
        <v>570</v>
      </c>
      <c r="B245" s="199">
        <v>7.89744745E8</v>
      </c>
      <c r="C245" s="198" t="s">
        <v>114</v>
      </c>
      <c r="D245" s="94"/>
      <c r="E245" s="93">
        <v>100000.0</v>
      </c>
      <c r="F245" s="94"/>
    </row>
    <row r="246">
      <c r="A246" s="196" t="s">
        <v>573</v>
      </c>
      <c r="B246" s="197">
        <v>7.55427497E8</v>
      </c>
      <c r="C246" s="196" t="s">
        <v>575</v>
      </c>
      <c r="D246" s="94"/>
      <c r="E246" s="93">
        <v>100000.0</v>
      </c>
      <c r="F246" s="94"/>
    </row>
    <row r="247">
      <c r="A247" s="194"/>
      <c r="B247" s="195"/>
      <c r="C247" s="194"/>
      <c r="D247" s="94"/>
      <c r="E247" s="93">
        <v>100000.0</v>
      </c>
      <c r="F247" s="94"/>
    </row>
    <row r="248">
      <c r="A248" s="196" t="s">
        <v>579</v>
      </c>
      <c r="B248" s="197">
        <v>7.08385458E8</v>
      </c>
      <c r="C248" s="210"/>
      <c r="D248" s="94"/>
      <c r="E248" s="93">
        <v>100000.0</v>
      </c>
      <c r="F248" s="94"/>
    </row>
    <row r="249">
      <c r="A249" s="194"/>
      <c r="B249" s="195"/>
      <c r="C249" s="194"/>
      <c r="D249" s="94"/>
      <c r="E249" s="93">
        <v>100000.0</v>
      </c>
      <c r="F249" s="94"/>
    </row>
    <row r="250">
      <c r="A250" s="196" t="s">
        <v>581</v>
      </c>
      <c r="B250" s="196" t="s">
        <v>582</v>
      </c>
      <c r="C250" s="196" t="s">
        <v>57</v>
      </c>
      <c r="D250" s="94"/>
      <c r="E250" s="93">
        <v>100000.0</v>
      </c>
      <c r="F250" s="94"/>
    </row>
    <row r="251">
      <c r="A251" s="196" t="s">
        <v>584</v>
      </c>
      <c r="B251" s="206">
        <v>7.86323161E8</v>
      </c>
      <c r="C251" s="196" t="s">
        <v>217</v>
      </c>
      <c r="D251" s="94"/>
      <c r="E251" s="93">
        <v>100000.0</v>
      </c>
      <c r="F251" s="94"/>
    </row>
    <row r="252">
      <c r="A252" s="194"/>
      <c r="B252" s="195"/>
      <c r="C252" s="194"/>
      <c r="D252" s="94"/>
      <c r="E252" s="93">
        <v>100000.0</v>
      </c>
      <c r="F252" s="94"/>
    </row>
    <row r="253">
      <c r="A253" s="196" t="s">
        <v>587</v>
      </c>
      <c r="B253" s="197">
        <v>7.48805116E8</v>
      </c>
      <c r="C253" s="196" t="s">
        <v>26</v>
      </c>
      <c r="D253" s="94"/>
      <c r="E253" s="93">
        <v>100000.0</v>
      </c>
      <c r="F253" s="94"/>
    </row>
    <row r="254">
      <c r="A254" s="196" t="s">
        <v>589</v>
      </c>
      <c r="B254" s="197">
        <v>7.81799276E8</v>
      </c>
      <c r="C254" s="196" t="s">
        <v>114</v>
      </c>
      <c r="D254" s="94"/>
      <c r="E254" s="93">
        <v>100000.0</v>
      </c>
      <c r="F254" s="94"/>
    </row>
    <row r="255">
      <c r="A255" s="198" t="s">
        <v>591</v>
      </c>
      <c r="B255" s="207">
        <v>7.50551215E8</v>
      </c>
      <c r="C255" s="198" t="s">
        <v>593</v>
      </c>
      <c r="D255" s="94"/>
      <c r="E255" s="93">
        <v>100000.0</v>
      </c>
      <c r="F255" s="94"/>
    </row>
    <row r="256">
      <c r="A256" s="198" t="s">
        <v>594</v>
      </c>
      <c r="B256" s="199">
        <v>7.58623502E8</v>
      </c>
      <c r="C256" s="198" t="s">
        <v>596</v>
      </c>
      <c r="D256" s="94"/>
      <c r="E256" s="93">
        <v>100000.0</v>
      </c>
      <c r="F256" s="94"/>
    </row>
    <row r="257">
      <c r="A257" s="200"/>
      <c r="B257" s="201"/>
      <c r="C257" s="200"/>
      <c r="D257" s="94"/>
      <c r="E257" s="93">
        <v>100000.0</v>
      </c>
      <c r="F257" s="94"/>
    </row>
    <row r="258">
      <c r="A258" s="196" t="s">
        <v>600</v>
      </c>
      <c r="B258" s="197">
        <v>7.40530455E8</v>
      </c>
      <c r="C258" s="196" t="s">
        <v>328</v>
      </c>
      <c r="D258" s="94"/>
      <c r="E258" s="93">
        <v>100000.0</v>
      </c>
      <c r="F258" s="94"/>
    </row>
    <row r="259">
      <c r="A259" s="194"/>
      <c r="B259" s="195"/>
      <c r="C259" s="194"/>
      <c r="D259" s="94"/>
      <c r="E259" s="93">
        <v>100000.0</v>
      </c>
      <c r="F259" s="94"/>
    </row>
    <row r="260">
      <c r="A260" s="196" t="s">
        <v>604</v>
      </c>
      <c r="B260" s="197">
        <v>7.70411665E8</v>
      </c>
      <c r="C260" s="196" t="s">
        <v>57</v>
      </c>
      <c r="D260" s="94"/>
      <c r="E260" s="93">
        <v>100000.0</v>
      </c>
      <c r="F260" s="94"/>
    </row>
    <row r="261">
      <c r="A261" s="194"/>
      <c r="B261" s="195"/>
      <c r="C261" s="194"/>
      <c r="D261" s="94"/>
      <c r="E261" s="93">
        <v>100000.0</v>
      </c>
      <c r="F261" s="94"/>
    </row>
    <row r="262">
      <c r="A262" s="196" t="s">
        <v>608</v>
      </c>
      <c r="B262" s="196" t="s">
        <v>609</v>
      </c>
      <c r="C262" s="196" t="s">
        <v>234</v>
      </c>
      <c r="D262" s="94"/>
      <c r="E262" s="93">
        <v>100000.0</v>
      </c>
      <c r="F262" s="94"/>
    </row>
    <row r="263">
      <c r="A263" s="196" t="s">
        <v>611</v>
      </c>
      <c r="B263" s="196" t="s">
        <v>612</v>
      </c>
      <c r="C263" s="196" t="s">
        <v>57</v>
      </c>
      <c r="D263" s="94"/>
      <c r="E263" s="93">
        <v>100000.0</v>
      </c>
      <c r="F263" s="94"/>
    </row>
    <row r="264">
      <c r="A264" s="196" t="s">
        <v>614</v>
      </c>
      <c r="B264" s="197">
        <v>7.56547741E8</v>
      </c>
      <c r="C264" s="196" t="s">
        <v>26</v>
      </c>
      <c r="D264" s="94"/>
      <c r="E264" s="93">
        <v>100000.0</v>
      </c>
      <c r="F264" s="94"/>
    </row>
    <row r="265">
      <c r="A265" s="196" t="s">
        <v>616</v>
      </c>
      <c r="B265" s="197">
        <v>7.0525333E8</v>
      </c>
      <c r="C265" s="196" t="s">
        <v>60</v>
      </c>
      <c r="D265" s="94"/>
      <c r="E265" s="93">
        <v>100000.0</v>
      </c>
      <c r="F265" s="94"/>
    </row>
    <row r="266">
      <c r="A266" s="196" t="s">
        <v>617</v>
      </c>
      <c r="B266" s="196" t="s">
        <v>618</v>
      </c>
      <c r="C266" s="196" t="s">
        <v>5</v>
      </c>
      <c r="D266" s="94"/>
      <c r="E266" s="93">
        <v>100000.0</v>
      </c>
      <c r="F266" s="94"/>
    </row>
    <row r="267">
      <c r="A267" s="196" t="s">
        <v>619</v>
      </c>
      <c r="B267" s="197">
        <v>7.56640734E8</v>
      </c>
      <c r="C267" s="196" t="s">
        <v>26</v>
      </c>
      <c r="D267" s="94"/>
      <c r="E267" s="93">
        <v>100000.0</v>
      </c>
      <c r="F267" s="94"/>
    </row>
    <row r="268">
      <c r="A268" s="196" t="s">
        <v>621</v>
      </c>
      <c r="B268" s="197">
        <v>7.02808555E8</v>
      </c>
      <c r="C268" s="196" t="s">
        <v>5</v>
      </c>
      <c r="D268" s="94"/>
      <c r="E268" s="93">
        <v>100000.0</v>
      </c>
      <c r="F268" s="94"/>
    </row>
    <row r="269">
      <c r="A269" s="198" t="s">
        <v>623</v>
      </c>
      <c r="B269" s="199">
        <v>7.50333725E8</v>
      </c>
      <c r="C269" s="198" t="s">
        <v>26</v>
      </c>
      <c r="D269" s="94"/>
      <c r="E269" s="93">
        <v>100000.0</v>
      </c>
      <c r="F269" s="94"/>
    </row>
    <row r="270">
      <c r="A270" s="196" t="s">
        <v>625</v>
      </c>
      <c r="B270" s="197">
        <v>7.08999618E8</v>
      </c>
      <c r="C270" s="196" t="s">
        <v>5</v>
      </c>
      <c r="D270" s="94"/>
      <c r="E270" s="93">
        <v>100000.0</v>
      </c>
      <c r="F270" s="94"/>
    </row>
    <row r="271">
      <c r="A271" s="196" t="s">
        <v>626</v>
      </c>
      <c r="B271" s="197">
        <v>7.47229478E8</v>
      </c>
      <c r="C271" s="196" t="s">
        <v>26</v>
      </c>
      <c r="D271" s="94"/>
      <c r="E271" s="93">
        <v>100000.0</v>
      </c>
      <c r="F271" s="94"/>
    </row>
    <row r="272">
      <c r="A272" s="200"/>
      <c r="B272" s="201"/>
      <c r="C272" s="200"/>
      <c r="D272" s="94"/>
      <c r="E272" s="93">
        <v>100000.0</v>
      </c>
      <c r="F272" s="94"/>
    </row>
    <row r="273">
      <c r="A273" s="204"/>
      <c r="B273" s="205"/>
      <c r="C273" s="204"/>
      <c r="D273" s="94"/>
      <c r="E273" s="93">
        <v>100000.0</v>
      </c>
      <c r="F273" s="94"/>
    </row>
    <row r="274">
      <c r="A274" s="194"/>
      <c r="B274" s="195"/>
      <c r="C274" s="194"/>
      <c r="D274" s="94"/>
      <c r="E274" s="93">
        <v>100000.0</v>
      </c>
      <c r="F274" s="94"/>
    </row>
    <row r="275">
      <c r="A275" s="196" t="s">
        <v>632</v>
      </c>
      <c r="B275" s="197">
        <v>7.40266584E8</v>
      </c>
      <c r="C275" s="196" t="s">
        <v>60</v>
      </c>
      <c r="D275" s="94"/>
      <c r="E275" s="93">
        <v>100000.0</v>
      </c>
      <c r="F275" s="94"/>
    </row>
    <row r="276">
      <c r="A276" s="196" t="s">
        <v>635</v>
      </c>
      <c r="B276" s="197">
        <v>7.60276464E8</v>
      </c>
      <c r="C276" s="196" t="s">
        <v>320</v>
      </c>
      <c r="D276" s="94"/>
      <c r="E276" s="93">
        <v>100000.0</v>
      </c>
      <c r="F276" s="94"/>
    </row>
    <row r="277">
      <c r="A277" s="196" t="s">
        <v>636</v>
      </c>
      <c r="B277" s="196" t="s">
        <v>637</v>
      </c>
      <c r="C277" s="196" t="s">
        <v>60</v>
      </c>
      <c r="D277" s="94"/>
      <c r="E277" s="93">
        <v>100000.0</v>
      </c>
      <c r="F277" s="94"/>
    </row>
    <row r="278">
      <c r="A278" s="196" t="s">
        <v>638</v>
      </c>
      <c r="B278" s="197">
        <v>7.03090804E8</v>
      </c>
      <c r="C278" s="196" t="s">
        <v>114</v>
      </c>
      <c r="D278" s="94"/>
      <c r="E278" s="93">
        <v>100000.0</v>
      </c>
      <c r="F278" s="94"/>
    </row>
    <row r="279">
      <c r="A279" s="196" t="s">
        <v>640</v>
      </c>
      <c r="B279" s="197">
        <v>7.08299209E8</v>
      </c>
      <c r="C279" s="196" t="s">
        <v>45</v>
      </c>
      <c r="D279" s="94"/>
      <c r="E279" s="93">
        <v>100000.0</v>
      </c>
      <c r="F279" s="94"/>
    </row>
    <row r="280">
      <c r="A280" s="196" t="s">
        <v>642</v>
      </c>
      <c r="B280" s="197">
        <v>7.02349443E8</v>
      </c>
      <c r="C280" s="196" t="s">
        <v>57</v>
      </c>
      <c r="D280" s="94"/>
      <c r="E280" s="93">
        <v>100000.0</v>
      </c>
      <c r="F280" s="94"/>
    </row>
    <row r="281">
      <c r="A281" s="196" t="s">
        <v>644</v>
      </c>
      <c r="B281" s="206">
        <v>7.09766698E8</v>
      </c>
      <c r="C281" s="196" t="s">
        <v>646</v>
      </c>
      <c r="D281" s="94"/>
      <c r="E281" s="93">
        <v>100000.0</v>
      </c>
      <c r="F281" s="94"/>
    </row>
    <row r="282">
      <c r="A282" s="196" t="s">
        <v>647</v>
      </c>
      <c r="B282" s="197">
        <v>7.86270506E8</v>
      </c>
      <c r="C282" s="196" t="s">
        <v>114</v>
      </c>
      <c r="D282" s="94"/>
      <c r="E282" s="93">
        <v>100000.0</v>
      </c>
      <c r="F282" s="94"/>
    </row>
    <row r="283">
      <c r="A283" s="196" t="s">
        <v>648</v>
      </c>
      <c r="B283" s="197">
        <v>7.78578761E8</v>
      </c>
      <c r="C283" s="196" t="s">
        <v>26</v>
      </c>
      <c r="D283" s="94"/>
      <c r="E283" s="93">
        <v>100000.0</v>
      </c>
      <c r="F283" s="94"/>
    </row>
    <row r="284">
      <c r="A284" s="196" t="s">
        <v>652</v>
      </c>
      <c r="B284" s="197">
        <v>7.4516103E8</v>
      </c>
      <c r="C284" s="196" t="s">
        <v>57</v>
      </c>
      <c r="D284" s="94"/>
      <c r="E284" s="93">
        <v>100000.0</v>
      </c>
      <c r="F284" s="94"/>
    </row>
    <row r="285">
      <c r="A285" s="196" t="s">
        <v>654</v>
      </c>
      <c r="B285" s="197">
        <v>7.06118995E8</v>
      </c>
      <c r="C285" s="196" t="s">
        <v>5</v>
      </c>
      <c r="D285" s="94"/>
      <c r="E285" s="93">
        <v>100000.0</v>
      </c>
      <c r="F285" s="94"/>
    </row>
    <row r="286">
      <c r="A286" s="196" t="s">
        <v>656</v>
      </c>
      <c r="B286" s="196" t="s">
        <v>657</v>
      </c>
      <c r="C286" s="196" t="s">
        <v>5</v>
      </c>
      <c r="D286" s="94"/>
      <c r="E286" s="93">
        <v>100000.0</v>
      </c>
      <c r="F286" s="94"/>
    </row>
    <row r="287">
      <c r="A287" s="204"/>
      <c r="B287" s="205"/>
      <c r="C287" s="204"/>
      <c r="D287" s="94"/>
      <c r="E287" s="93">
        <v>100000.0</v>
      </c>
      <c r="F287" s="94"/>
    </row>
    <row r="288">
      <c r="A288" s="196" t="s">
        <v>663</v>
      </c>
      <c r="B288" s="197">
        <v>7.09762103E8</v>
      </c>
      <c r="C288" s="196" t="s">
        <v>54</v>
      </c>
      <c r="D288" s="94"/>
      <c r="E288" s="93">
        <v>100000.0</v>
      </c>
      <c r="F288" s="94"/>
    </row>
    <row r="289">
      <c r="A289" s="196" t="s">
        <v>665</v>
      </c>
      <c r="B289" s="206">
        <v>7.07212422E8</v>
      </c>
      <c r="C289" s="196" t="s">
        <v>502</v>
      </c>
      <c r="D289" s="94"/>
      <c r="E289" s="93">
        <v>100000.0</v>
      </c>
      <c r="F289" s="94"/>
    </row>
    <row r="290">
      <c r="A290" s="194"/>
      <c r="B290" s="195"/>
      <c r="C290" s="194"/>
      <c r="D290" s="94"/>
      <c r="E290" s="93">
        <v>100000.0</v>
      </c>
      <c r="F290" s="94"/>
    </row>
    <row r="291">
      <c r="A291" s="196" t="s">
        <v>669</v>
      </c>
      <c r="B291" s="197">
        <v>7.09250988E8</v>
      </c>
      <c r="C291" s="196" t="s">
        <v>26</v>
      </c>
      <c r="D291" s="94"/>
      <c r="E291" s="93">
        <v>100000.0</v>
      </c>
      <c r="F291" s="94"/>
    </row>
    <row r="292">
      <c r="A292" s="196" t="s">
        <v>671</v>
      </c>
      <c r="B292" s="197">
        <v>7.54524425E8</v>
      </c>
      <c r="C292" s="196" t="s">
        <v>26</v>
      </c>
      <c r="D292" s="94"/>
      <c r="E292" s="93">
        <v>100000.0</v>
      </c>
      <c r="F292" s="94"/>
    </row>
    <row r="293">
      <c r="A293" s="196" t="s">
        <v>672</v>
      </c>
      <c r="B293" s="197">
        <v>7.50387273E8</v>
      </c>
      <c r="C293" s="196" t="s">
        <v>5</v>
      </c>
      <c r="D293" s="94"/>
      <c r="E293" s="93">
        <v>100000.0</v>
      </c>
      <c r="F293" s="94"/>
    </row>
    <row r="294">
      <c r="A294" s="196" t="s">
        <v>674</v>
      </c>
      <c r="B294" s="197">
        <v>7.04462039E8</v>
      </c>
      <c r="C294" s="196" t="s">
        <v>128</v>
      </c>
      <c r="D294" s="94"/>
      <c r="E294" s="93">
        <v>100000.0</v>
      </c>
      <c r="F294" s="94"/>
    </row>
    <row r="295">
      <c r="A295" s="196" t="s">
        <v>676</v>
      </c>
      <c r="B295" s="197">
        <v>7.08098261E8</v>
      </c>
      <c r="C295" s="196" t="s">
        <v>234</v>
      </c>
      <c r="D295" s="94"/>
      <c r="E295" s="93">
        <v>100000.0</v>
      </c>
      <c r="F295" s="94"/>
    </row>
    <row r="296">
      <c r="A296" s="194"/>
      <c r="B296" s="195"/>
      <c r="C296" s="194"/>
      <c r="D296" s="94"/>
      <c r="E296" s="93">
        <v>100000.0</v>
      </c>
      <c r="F296" s="94"/>
    </row>
    <row r="297">
      <c r="A297" s="196" t="s">
        <v>679</v>
      </c>
      <c r="B297" s="197">
        <v>7.06835854E8</v>
      </c>
      <c r="C297" s="196" t="s">
        <v>26</v>
      </c>
      <c r="D297" s="94"/>
      <c r="E297" s="93">
        <v>100000.0</v>
      </c>
      <c r="F297" s="94"/>
    </row>
    <row r="298">
      <c r="A298" s="194"/>
      <c r="B298" s="195"/>
      <c r="C298" s="194"/>
      <c r="D298" s="94"/>
      <c r="E298" s="93">
        <v>100000.0</v>
      </c>
      <c r="F298" s="94"/>
    </row>
    <row r="299">
      <c r="A299" s="196" t="s">
        <v>683</v>
      </c>
      <c r="B299" s="197">
        <v>7.58398749E8</v>
      </c>
      <c r="C299" s="196" t="s">
        <v>23</v>
      </c>
      <c r="D299" s="94"/>
      <c r="E299" s="93">
        <v>100000.0</v>
      </c>
      <c r="F299" s="94"/>
    </row>
    <row r="300">
      <c r="A300" s="196" t="s">
        <v>685</v>
      </c>
      <c r="B300" s="206">
        <v>7.4613537E8</v>
      </c>
      <c r="C300" s="196" t="s">
        <v>502</v>
      </c>
      <c r="D300" s="94"/>
      <c r="E300" s="93">
        <v>100000.0</v>
      </c>
      <c r="F300" s="94"/>
    </row>
    <row r="301">
      <c r="A301" s="200"/>
      <c r="B301" s="201"/>
      <c r="C301" s="200"/>
      <c r="D301" s="94"/>
      <c r="E301" s="93">
        <v>100000.0</v>
      </c>
      <c r="F301" s="94"/>
    </row>
    <row r="302">
      <c r="A302" s="200"/>
      <c r="B302" s="201"/>
      <c r="C302" s="200"/>
      <c r="D302" s="94"/>
      <c r="E302" s="93">
        <v>100000.0</v>
      </c>
      <c r="F302" s="94"/>
    </row>
    <row r="303">
      <c r="A303" s="200"/>
      <c r="B303" s="201"/>
      <c r="C303" s="200"/>
      <c r="D303" s="94"/>
      <c r="E303" s="93">
        <v>100000.0</v>
      </c>
      <c r="F303" s="94"/>
    </row>
    <row r="304">
      <c r="A304" s="200"/>
      <c r="B304" s="201"/>
      <c r="C304" s="200"/>
      <c r="D304" s="94"/>
      <c r="E304" s="93">
        <v>100000.0</v>
      </c>
      <c r="F304" s="94"/>
    </row>
    <row r="305">
      <c r="A305" s="200"/>
      <c r="B305" s="201"/>
      <c r="C305" s="200"/>
      <c r="D305" s="94"/>
      <c r="E305" s="93">
        <v>100000.0</v>
      </c>
      <c r="F305" s="94"/>
    </row>
    <row r="306">
      <c r="A306" s="200"/>
      <c r="B306" s="201"/>
      <c r="C306" s="200"/>
      <c r="D306" s="94"/>
      <c r="E306" s="93">
        <v>100000.0</v>
      </c>
      <c r="F306" s="94"/>
    </row>
    <row r="307">
      <c r="A307" s="200"/>
      <c r="B307" s="201"/>
      <c r="C307" s="200"/>
      <c r="D307" s="94"/>
      <c r="E307" s="93">
        <v>100000.0</v>
      </c>
      <c r="F307" s="94"/>
    </row>
    <row r="308">
      <c r="A308" s="200"/>
      <c r="B308" s="201"/>
      <c r="C308" s="200"/>
      <c r="D308" s="94"/>
      <c r="E308" s="93">
        <v>100000.0</v>
      </c>
      <c r="F308" s="94"/>
    </row>
    <row r="309">
      <c r="A309" s="200"/>
      <c r="B309" s="201"/>
      <c r="C309" s="200"/>
      <c r="D309" s="94"/>
      <c r="E309" s="93">
        <v>100000.0</v>
      </c>
      <c r="F309" s="94"/>
    </row>
    <row r="310">
      <c r="A310" s="200"/>
      <c r="B310" s="201"/>
      <c r="C310" s="200"/>
      <c r="D310" s="94"/>
      <c r="E310" s="93">
        <v>100000.0</v>
      </c>
      <c r="F310" s="94"/>
    </row>
    <row r="311">
      <c r="A311" s="200"/>
      <c r="B311" s="201"/>
      <c r="C311" s="200"/>
      <c r="D311" s="94"/>
      <c r="E311" s="93">
        <v>100000.0</v>
      </c>
      <c r="F311" s="94"/>
    </row>
    <row r="312">
      <c r="A312" s="200"/>
      <c r="B312" s="201"/>
      <c r="C312" s="200"/>
      <c r="D312" s="94"/>
      <c r="E312" s="93">
        <v>100000.0</v>
      </c>
      <c r="F312" s="94"/>
    </row>
    <row r="313">
      <c r="A313" s="200"/>
      <c r="B313" s="201"/>
      <c r="C313" s="200"/>
      <c r="D313" s="94"/>
      <c r="E313" s="93">
        <v>100000.0</v>
      </c>
      <c r="F313" s="94"/>
    </row>
    <row r="314">
      <c r="A314" s="200"/>
      <c r="B314" s="201"/>
      <c r="C314" s="200"/>
      <c r="D314" s="94"/>
      <c r="E314" s="93">
        <v>100000.0</v>
      </c>
      <c r="F314" s="94"/>
    </row>
    <row r="315">
      <c r="A315" s="200"/>
      <c r="B315" s="201"/>
      <c r="C315" s="200"/>
      <c r="D315" s="94"/>
      <c r="E315" s="93">
        <v>100000.0</v>
      </c>
      <c r="F315" s="94"/>
    </row>
    <row r="316">
      <c r="A316" s="200"/>
      <c r="B316" s="200"/>
      <c r="C316" s="200"/>
      <c r="D316" s="94"/>
      <c r="E316" s="93">
        <v>100000.0</v>
      </c>
      <c r="F316" s="94"/>
    </row>
    <row r="317">
      <c r="A317" s="200"/>
      <c r="B317" s="201"/>
      <c r="C317" s="200"/>
      <c r="D317" s="94"/>
      <c r="E317" s="93">
        <v>100000.0</v>
      </c>
      <c r="F317" s="94"/>
    </row>
    <row r="318">
      <c r="A318" s="198" t="s">
        <v>732</v>
      </c>
      <c r="B318" s="199">
        <v>7.53011355E8</v>
      </c>
      <c r="C318" s="198" t="s">
        <v>734</v>
      </c>
      <c r="D318" s="94"/>
      <c r="E318" s="93">
        <v>100000.0</v>
      </c>
      <c r="F318" s="94"/>
    </row>
    <row r="319">
      <c r="A319" s="198" t="s">
        <v>735</v>
      </c>
      <c r="B319" s="199">
        <v>7.06469479E8</v>
      </c>
      <c r="C319" s="198" t="s">
        <v>737</v>
      </c>
      <c r="D319" s="94"/>
      <c r="E319" s="93">
        <v>100000.0</v>
      </c>
      <c r="F319" s="94"/>
    </row>
    <row r="320">
      <c r="A320" s="198" t="s">
        <v>739</v>
      </c>
      <c r="B320" s="199">
        <v>7.08237695E8</v>
      </c>
      <c r="C320" s="198" t="s">
        <v>123</v>
      </c>
      <c r="D320" s="94"/>
      <c r="E320" s="93">
        <v>100000.0</v>
      </c>
      <c r="F320" s="94"/>
    </row>
    <row r="321">
      <c r="A321" s="198" t="s">
        <v>741</v>
      </c>
      <c r="B321" s="199">
        <v>7.5613769E7</v>
      </c>
      <c r="C321" s="198" t="s">
        <v>320</v>
      </c>
      <c r="D321" s="94"/>
      <c r="E321" s="93">
        <v>100000.0</v>
      </c>
      <c r="F321" s="94"/>
    </row>
    <row r="322">
      <c r="A322" s="198" t="s">
        <v>743</v>
      </c>
      <c r="B322" s="199">
        <v>7.46675145E8</v>
      </c>
      <c r="C322" s="198" t="s">
        <v>320</v>
      </c>
      <c r="D322" s="94"/>
      <c r="E322" s="93">
        <v>100000.0</v>
      </c>
      <c r="F322" s="94"/>
    </row>
    <row r="323">
      <c r="A323" s="210"/>
      <c r="B323" s="210"/>
      <c r="C323" s="210"/>
      <c r="D323" s="94"/>
      <c r="E323" s="93"/>
      <c r="F323" s="94"/>
    </row>
    <row r="324">
      <c r="A324" s="94"/>
      <c r="B324" s="94"/>
      <c r="C324" s="94"/>
      <c r="D324" s="94"/>
      <c r="E324" s="93"/>
      <c r="F324" s="94"/>
    </row>
    <row r="325">
      <c r="A325" s="94"/>
      <c r="B325" s="94"/>
      <c r="C325" s="94"/>
      <c r="D325" s="94"/>
      <c r="E325" s="93"/>
      <c r="F325" s="94"/>
    </row>
    <row r="326">
      <c r="A326" s="94"/>
      <c r="B326" s="94"/>
      <c r="C326" s="94"/>
      <c r="D326" s="94"/>
      <c r="E326" s="93"/>
      <c r="F326" s="94"/>
    </row>
    <row r="327">
      <c r="A327" s="94"/>
      <c r="B327" s="94"/>
      <c r="C327" s="94"/>
      <c r="D327" s="94"/>
      <c r="E327" s="94"/>
      <c r="F327" s="94"/>
    </row>
    <row r="328">
      <c r="A328" s="94"/>
      <c r="B328" s="94"/>
      <c r="C328" s="94"/>
      <c r="D328" s="94"/>
      <c r="E328" s="94"/>
      <c r="F328" s="94"/>
    </row>
    <row r="329">
      <c r="A329" s="94"/>
      <c r="B329" s="94"/>
      <c r="C329" s="94"/>
      <c r="D329" s="94"/>
      <c r="E329" s="94"/>
      <c r="F329" s="94"/>
    </row>
    <row r="330">
      <c r="A330" s="94"/>
      <c r="B330" s="94"/>
      <c r="C330" s="94"/>
      <c r="D330" s="94"/>
      <c r="E330" s="94"/>
      <c r="F330" s="94"/>
    </row>
    <row r="331">
      <c r="A331" s="94"/>
      <c r="B331" s="94"/>
      <c r="C331" s="94"/>
      <c r="D331" s="94"/>
      <c r="E331" s="94"/>
      <c r="F331" s="94"/>
    </row>
    <row r="332">
      <c r="A332" s="94"/>
      <c r="B332" s="94"/>
      <c r="C332" s="94"/>
      <c r="D332" s="94"/>
      <c r="E332" s="94"/>
      <c r="F332" s="94"/>
    </row>
    <row r="333">
      <c r="A333" s="94"/>
      <c r="B333" s="94"/>
      <c r="C333" s="94"/>
      <c r="D333" s="94"/>
      <c r="E333" s="94"/>
      <c r="F333" s="94"/>
    </row>
    <row r="334">
      <c r="A334" s="94"/>
      <c r="B334" s="94"/>
      <c r="C334" s="94"/>
      <c r="D334" s="94"/>
      <c r="E334" s="94"/>
      <c r="F334" s="94"/>
    </row>
    <row r="335">
      <c r="A335" s="94"/>
      <c r="B335" s="94"/>
      <c r="C335" s="94"/>
      <c r="D335" s="94"/>
      <c r="E335" s="94"/>
      <c r="F335" s="94"/>
    </row>
    <row r="336">
      <c r="A336" s="94"/>
      <c r="B336" s="94"/>
      <c r="C336" s="94"/>
      <c r="D336" s="94"/>
      <c r="E336" s="94"/>
      <c r="F336" s="94"/>
    </row>
    <row r="337">
      <c r="A337" s="94"/>
      <c r="B337" s="94"/>
      <c r="C337" s="94"/>
      <c r="D337" s="94"/>
      <c r="E337" s="94"/>
      <c r="F337" s="94"/>
    </row>
    <row r="338">
      <c r="A338" s="94"/>
      <c r="B338" s="94"/>
      <c r="C338" s="94"/>
      <c r="D338" s="94"/>
      <c r="E338" s="94"/>
      <c r="F338" s="94"/>
    </row>
    <row r="339">
      <c r="A339" s="94"/>
      <c r="B339" s="94"/>
      <c r="C339" s="94"/>
      <c r="D339" s="94"/>
      <c r="E339" s="94"/>
      <c r="F339" s="94"/>
    </row>
    <row r="340">
      <c r="A340" s="94"/>
      <c r="B340" s="94"/>
      <c r="C340" s="94"/>
      <c r="D340" s="94"/>
      <c r="E340" s="94"/>
      <c r="F340" s="94"/>
    </row>
    <row r="341">
      <c r="A341" s="94"/>
      <c r="B341" s="94"/>
      <c r="C341" s="94"/>
      <c r="D341" s="94"/>
      <c r="E341" s="94"/>
      <c r="F341" s="94"/>
    </row>
    <row r="342">
      <c r="A342" s="94"/>
      <c r="B342" s="94"/>
      <c r="C342" s="94"/>
      <c r="D342" s="94"/>
      <c r="E342" s="94"/>
      <c r="F342" s="94"/>
    </row>
    <row r="343">
      <c r="A343" s="94"/>
      <c r="B343" s="94"/>
      <c r="C343" s="94"/>
      <c r="D343" s="94"/>
      <c r="E343" s="94"/>
      <c r="F343" s="94"/>
    </row>
    <row r="344">
      <c r="A344" s="94"/>
      <c r="B344" s="94"/>
      <c r="C344" s="94"/>
      <c r="D344" s="94"/>
      <c r="E344" s="94"/>
      <c r="F344" s="94"/>
    </row>
    <row r="345">
      <c r="A345" s="94"/>
      <c r="B345" s="94"/>
      <c r="C345" s="94"/>
      <c r="D345" s="94"/>
      <c r="E345" s="94"/>
      <c r="F345" s="94"/>
    </row>
    <row r="346">
      <c r="A346" s="94"/>
      <c r="B346" s="94"/>
      <c r="C346" s="94"/>
      <c r="D346" s="94"/>
      <c r="E346" s="94"/>
      <c r="F346" s="94"/>
    </row>
    <row r="347">
      <c r="A347" s="94"/>
      <c r="B347" s="94"/>
      <c r="C347" s="94"/>
      <c r="D347" s="94"/>
      <c r="E347" s="94"/>
      <c r="F347" s="94"/>
    </row>
    <row r="348">
      <c r="A348" s="94"/>
      <c r="B348" s="94"/>
      <c r="C348" s="94"/>
      <c r="D348" s="94"/>
      <c r="E348" s="94"/>
      <c r="F348" s="94"/>
    </row>
    <row r="349">
      <c r="A349" s="94"/>
      <c r="B349" s="94"/>
      <c r="C349" s="94"/>
      <c r="D349" s="94"/>
      <c r="E349" s="94"/>
      <c r="F349" s="94"/>
    </row>
    <row r="350">
      <c r="A350" s="94"/>
      <c r="B350" s="94"/>
      <c r="C350" s="94"/>
      <c r="D350" s="94"/>
      <c r="E350" s="94"/>
      <c r="F350" s="94"/>
    </row>
    <row r="351">
      <c r="A351" s="94"/>
      <c r="B351" s="94"/>
      <c r="C351" s="94"/>
      <c r="D351" s="94"/>
      <c r="E351" s="94"/>
      <c r="F351" s="94"/>
    </row>
    <row r="352">
      <c r="A352" s="94"/>
      <c r="B352" s="94"/>
      <c r="C352" s="94"/>
      <c r="D352" s="94"/>
      <c r="E352" s="94"/>
      <c r="F352" s="94"/>
    </row>
    <row r="353">
      <c r="A353" s="94"/>
      <c r="B353" s="94"/>
      <c r="C353" s="94"/>
      <c r="D353" s="94"/>
      <c r="E353" s="94"/>
      <c r="F353" s="94"/>
    </row>
    <row r="354">
      <c r="A354" s="94"/>
      <c r="B354" s="94"/>
      <c r="C354" s="94"/>
      <c r="D354" s="94"/>
      <c r="E354" s="94"/>
      <c r="F354" s="94"/>
    </row>
    <row r="355">
      <c r="A355" s="94"/>
      <c r="B355" s="94"/>
      <c r="C355" s="94"/>
      <c r="D355" s="94"/>
      <c r="E355" s="94"/>
      <c r="F355" s="94"/>
    </row>
    <row r="356">
      <c r="A356" s="94"/>
      <c r="B356" s="94"/>
      <c r="C356" s="94"/>
      <c r="D356" s="94"/>
      <c r="E356" s="94"/>
      <c r="F356" s="94"/>
    </row>
    <row r="357">
      <c r="A357" s="94"/>
      <c r="B357" s="94"/>
      <c r="C357" s="94"/>
      <c r="D357" s="94"/>
    </row>
    <row r="358">
      <c r="A358" s="94"/>
      <c r="B358" s="94"/>
      <c r="C358" s="94"/>
      <c r="D358" s="94"/>
    </row>
    <row r="359">
      <c r="A359" s="94"/>
      <c r="B359" s="94"/>
      <c r="C359" s="94"/>
      <c r="D359" s="94"/>
    </row>
    <row r="360">
      <c r="A360" s="94"/>
      <c r="B360" s="94"/>
      <c r="C360" s="94"/>
      <c r="D360" s="94"/>
    </row>
    <row r="361">
      <c r="A361" s="94"/>
      <c r="B361" s="94"/>
      <c r="C361" s="94"/>
      <c r="D361" s="94"/>
    </row>
    <row r="362">
      <c r="A362" s="94"/>
      <c r="B362" s="94"/>
      <c r="C362" s="94"/>
      <c r="D362" s="94"/>
    </row>
    <row r="363">
      <c r="A363" s="94"/>
      <c r="B363" s="94"/>
      <c r="C363" s="94"/>
      <c r="D363" s="94"/>
    </row>
    <row r="364">
      <c r="A364" s="94"/>
      <c r="B364" s="94"/>
      <c r="C364" s="94"/>
      <c r="D364" s="94"/>
    </row>
    <row r="365">
      <c r="A365" s="94"/>
      <c r="B365" s="94"/>
      <c r="C365" s="94"/>
      <c r="D365" s="94"/>
    </row>
    <row r="366">
      <c r="A366" s="94"/>
      <c r="B366" s="94"/>
      <c r="C366" s="94"/>
      <c r="D366" s="94"/>
    </row>
    <row r="367">
      <c r="A367" s="94"/>
      <c r="B367" s="94"/>
      <c r="C367" s="94"/>
      <c r="D367" s="94"/>
    </row>
    <row r="368">
      <c r="A368" s="94"/>
      <c r="B368" s="94"/>
      <c r="C368" s="94"/>
      <c r="D368" s="94"/>
    </row>
    <row r="369">
      <c r="A369" s="94"/>
      <c r="B369" s="94"/>
      <c r="C369" s="94"/>
      <c r="D369" s="94"/>
    </row>
    <row r="370">
      <c r="A370" s="94"/>
      <c r="B370" s="94"/>
      <c r="C370" s="94"/>
      <c r="D370" s="94"/>
    </row>
    <row r="371">
      <c r="A371" s="94"/>
      <c r="B371" s="94"/>
      <c r="C371" s="94"/>
      <c r="D371" s="94"/>
    </row>
    <row r="372">
      <c r="A372" s="94"/>
      <c r="B372" s="94"/>
      <c r="C372" s="94"/>
      <c r="D372" s="94"/>
    </row>
    <row r="373">
      <c r="A373" s="94"/>
      <c r="B373" s="94"/>
      <c r="C373" s="94"/>
      <c r="D373" s="94"/>
    </row>
    <row r="374">
      <c r="A374" s="94"/>
      <c r="B374" s="94"/>
      <c r="C374" s="94"/>
      <c r="D374" s="94"/>
    </row>
    <row r="375">
      <c r="A375" s="94"/>
      <c r="B375" s="94"/>
      <c r="C375" s="94"/>
      <c r="D375" s="94"/>
    </row>
    <row r="376">
      <c r="A376" s="94"/>
      <c r="B376" s="94"/>
      <c r="C376" s="94"/>
      <c r="D376" s="94"/>
    </row>
    <row r="377">
      <c r="A377" s="94"/>
      <c r="B377" s="94"/>
      <c r="C377" s="94"/>
      <c r="D377" s="94"/>
    </row>
    <row r="378">
      <c r="A378" s="94"/>
      <c r="B378" s="94"/>
      <c r="C378" s="94"/>
      <c r="D378" s="94"/>
    </row>
    <row r="379">
      <c r="A379" s="94"/>
      <c r="B379" s="94"/>
      <c r="C379" s="94"/>
      <c r="D379" s="94"/>
    </row>
    <row r="380">
      <c r="A380" s="94"/>
      <c r="B380" s="94"/>
      <c r="C380" s="94"/>
      <c r="D380" s="94"/>
    </row>
    <row r="381">
      <c r="A381" s="94"/>
      <c r="B381" s="94"/>
      <c r="C381" s="94"/>
      <c r="D381" s="94"/>
    </row>
    <row r="382">
      <c r="A382" s="94"/>
      <c r="B382" s="94"/>
      <c r="C382" s="94"/>
      <c r="D382" s="94"/>
    </row>
    <row r="383">
      <c r="A383" s="94"/>
      <c r="B383" s="94"/>
      <c r="C383" s="94"/>
      <c r="D383" s="94"/>
    </row>
    <row r="384">
      <c r="A384" s="94"/>
      <c r="B384" s="94"/>
      <c r="C384" s="94"/>
      <c r="D384" s="94"/>
    </row>
    <row r="385">
      <c r="A385" s="94"/>
      <c r="B385" s="94"/>
      <c r="C385" s="94"/>
      <c r="D385" s="94"/>
    </row>
    <row r="386">
      <c r="A386" s="94"/>
      <c r="B386" s="94"/>
      <c r="C386" s="94"/>
      <c r="D386" s="94"/>
    </row>
    <row r="387">
      <c r="A387" s="94"/>
      <c r="B387" s="94"/>
      <c r="C387" s="94"/>
      <c r="D387" s="94"/>
    </row>
    <row r="388">
      <c r="A388" s="94"/>
      <c r="B388" s="94"/>
      <c r="C388" s="94"/>
      <c r="D388" s="94"/>
    </row>
    <row r="389">
      <c r="A389" s="94"/>
      <c r="B389" s="94"/>
      <c r="C389" s="94"/>
      <c r="D389" s="94"/>
    </row>
    <row r="390">
      <c r="A390" s="94"/>
      <c r="B390" s="94"/>
      <c r="C390" s="94"/>
      <c r="D390" s="94"/>
    </row>
    <row r="391">
      <c r="A391" s="94"/>
      <c r="B391" s="94"/>
      <c r="C391" s="94"/>
      <c r="D391" s="94"/>
    </row>
    <row r="392">
      <c r="A392" s="94"/>
      <c r="B392" s="94"/>
      <c r="C392" s="94"/>
      <c r="D392" s="94"/>
    </row>
    <row r="393">
      <c r="A393" s="94"/>
      <c r="B393" s="94"/>
      <c r="C393" s="94"/>
      <c r="D393" s="94"/>
    </row>
    <row r="394">
      <c r="A394" s="94"/>
      <c r="B394" s="94"/>
      <c r="C394" s="94"/>
      <c r="D394" s="94"/>
    </row>
    <row r="395">
      <c r="A395" s="94"/>
      <c r="B395" s="94"/>
      <c r="C395" s="94"/>
      <c r="D395" s="94"/>
    </row>
    <row r="396">
      <c r="A396" s="94"/>
      <c r="B396" s="94"/>
      <c r="C396" s="94"/>
      <c r="D396" s="94"/>
    </row>
    <row r="397">
      <c r="A397" s="94"/>
      <c r="B397" s="94"/>
      <c r="C397" s="94"/>
      <c r="D397" s="94"/>
    </row>
    <row r="398">
      <c r="A398" s="94"/>
      <c r="B398" s="94"/>
      <c r="C398" s="94"/>
      <c r="D398" s="94"/>
    </row>
    <row r="399">
      <c r="A399" s="94"/>
      <c r="B399" s="94"/>
      <c r="C399" s="94"/>
      <c r="D399" s="94"/>
    </row>
    <row r="400">
      <c r="A400" s="94"/>
      <c r="B400" s="94"/>
      <c r="C400" s="94"/>
      <c r="D400" s="94"/>
    </row>
    <row r="401">
      <c r="A401" s="94"/>
      <c r="B401" s="94"/>
      <c r="C401" s="94"/>
      <c r="D401" s="94"/>
    </row>
    <row r="402">
      <c r="A402" s="94"/>
      <c r="B402" s="94"/>
      <c r="C402" s="94"/>
      <c r="D402" s="94"/>
    </row>
    <row r="403">
      <c r="A403" s="94"/>
      <c r="B403" s="94"/>
      <c r="C403" s="94"/>
      <c r="D403" s="94"/>
    </row>
    <row r="404">
      <c r="A404" s="94"/>
      <c r="B404" s="94"/>
      <c r="C404" s="94"/>
      <c r="D404" s="94"/>
    </row>
    <row r="405">
      <c r="A405" s="94"/>
      <c r="B405" s="94"/>
      <c r="C405" s="94"/>
      <c r="D405" s="94"/>
    </row>
    <row r="406">
      <c r="A406" s="94"/>
      <c r="B406" s="94"/>
      <c r="C406" s="94"/>
      <c r="D406" s="94"/>
    </row>
    <row r="407">
      <c r="A407" s="94"/>
      <c r="B407" s="94"/>
      <c r="C407" s="94"/>
      <c r="D407" s="94"/>
    </row>
    <row r="408">
      <c r="A408" s="94"/>
      <c r="B408" s="94"/>
      <c r="C408" s="94"/>
      <c r="D408" s="94"/>
    </row>
    <row r="409">
      <c r="A409" s="94"/>
      <c r="B409" s="94"/>
      <c r="C409" s="94"/>
      <c r="D409" s="94"/>
    </row>
    <row r="410">
      <c r="A410" s="94"/>
      <c r="B410" s="94"/>
      <c r="C410" s="94"/>
      <c r="D410" s="94"/>
    </row>
    <row r="411">
      <c r="A411" s="94"/>
      <c r="B411" s="94"/>
      <c r="C411" s="94"/>
      <c r="D411" s="94"/>
    </row>
    <row r="412">
      <c r="A412" s="94"/>
      <c r="B412" s="94"/>
      <c r="C412" s="94"/>
      <c r="D412" s="94"/>
    </row>
    <row r="413">
      <c r="A413" s="94"/>
      <c r="B413" s="94"/>
      <c r="C413" s="94"/>
      <c r="D413" s="94"/>
    </row>
    <row r="414">
      <c r="A414" s="94"/>
      <c r="B414" s="94"/>
      <c r="C414" s="94"/>
      <c r="D414" s="94"/>
    </row>
    <row r="415">
      <c r="A415" s="94"/>
      <c r="B415" s="94"/>
      <c r="C415" s="94"/>
      <c r="D415" s="94"/>
    </row>
    <row r="416">
      <c r="A416" s="94"/>
      <c r="B416" s="94"/>
      <c r="C416" s="94"/>
      <c r="D416" s="94"/>
    </row>
    <row r="417">
      <c r="A417" s="94"/>
      <c r="B417" s="94"/>
      <c r="C417" s="94"/>
      <c r="D417" s="94"/>
    </row>
    <row r="418">
      <c r="A418" s="94"/>
      <c r="B418" s="94"/>
      <c r="C418" s="94"/>
      <c r="D418" s="94"/>
    </row>
    <row r="419">
      <c r="A419" s="94"/>
      <c r="B419" s="94"/>
      <c r="C419" s="94"/>
      <c r="D419" s="94"/>
    </row>
    <row r="420">
      <c r="A420" s="94"/>
      <c r="B420" s="94"/>
      <c r="C420" s="94"/>
      <c r="D420" s="94"/>
    </row>
    <row r="421">
      <c r="A421" s="94"/>
      <c r="B421" s="94"/>
      <c r="C421" s="94"/>
      <c r="D421" s="94"/>
    </row>
    <row r="422">
      <c r="A422" s="94"/>
      <c r="B422" s="94"/>
      <c r="C422" s="94"/>
      <c r="D422" s="94"/>
    </row>
    <row r="423">
      <c r="A423" s="94"/>
      <c r="B423" s="94"/>
      <c r="C423" s="94"/>
      <c r="D423" s="94"/>
    </row>
    <row r="424">
      <c r="A424" s="94"/>
      <c r="B424" s="94"/>
      <c r="C424" s="94"/>
      <c r="D424" s="94"/>
    </row>
    <row r="425">
      <c r="A425" s="94"/>
      <c r="B425" s="94"/>
      <c r="C425" s="94"/>
      <c r="D425" s="94"/>
    </row>
    <row r="426">
      <c r="A426" s="94"/>
      <c r="B426" s="94"/>
      <c r="C426" s="94"/>
      <c r="D426" s="94"/>
    </row>
    <row r="427">
      <c r="A427" s="94"/>
      <c r="B427" s="94"/>
      <c r="C427" s="94"/>
      <c r="D427" s="94"/>
    </row>
    <row r="428">
      <c r="A428" s="94"/>
      <c r="B428" s="94"/>
      <c r="C428" s="94"/>
      <c r="D428" s="94"/>
    </row>
    <row r="429">
      <c r="A429" s="94"/>
      <c r="B429" s="94"/>
      <c r="C429" s="94"/>
      <c r="D429" s="94"/>
    </row>
    <row r="430">
      <c r="A430" s="94"/>
      <c r="B430" s="94"/>
      <c r="C430" s="94"/>
      <c r="D430" s="94"/>
    </row>
    <row r="431">
      <c r="A431" s="94"/>
      <c r="B431" s="94"/>
      <c r="C431" s="94"/>
      <c r="D431" s="94"/>
    </row>
    <row r="432">
      <c r="A432" s="94"/>
      <c r="B432" s="94"/>
      <c r="C432" s="94"/>
      <c r="D432" s="94"/>
    </row>
    <row r="433">
      <c r="A433" s="94"/>
      <c r="B433" s="94"/>
      <c r="C433" s="94"/>
      <c r="D433" s="94"/>
    </row>
    <row r="434">
      <c r="A434" s="94"/>
      <c r="B434" s="94"/>
      <c r="C434" s="94"/>
      <c r="D434" s="94"/>
    </row>
    <row r="435">
      <c r="A435" s="94"/>
      <c r="B435" s="94"/>
      <c r="C435" s="94"/>
      <c r="D435" s="94"/>
    </row>
    <row r="436">
      <c r="A436" s="94"/>
      <c r="B436" s="94"/>
      <c r="C436" s="94"/>
      <c r="D436" s="94"/>
    </row>
    <row r="437">
      <c r="A437" s="94"/>
      <c r="B437" s="94"/>
      <c r="C437" s="94"/>
      <c r="D437" s="94"/>
    </row>
    <row r="438">
      <c r="A438" s="94"/>
      <c r="B438" s="94"/>
      <c r="C438" s="94"/>
    </row>
    <row r="439">
      <c r="A439" s="94"/>
      <c r="B439" s="94"/>
      <c r="C439" s="94"/>
    </row>
    <row r="440">
      <c r="A440" s="94"/>
      <c r="B440" s="94"/>
      <c r="C440" s="94"/>
    </row>
    <row r="441">
      <c r="A441" s="94"/>
      <c r="B441" s="94"/>
      <c r="C441" s="94"/>
    </row>
    <row r="442">
      <c r="A442" s="94"/>
      <c r="B442" s="94"/>
      <c r="C442" s="94"/>
    </row>
    <row r="443">
      <c r="A443" s="94"/>
      <c r="B443" s="94"/>
      <c r="C443" s="94"/>
    </row>
    <row r="444">
      <c r="A444" s="94"/>
      <c r="B444" s="94"/>
      <c r="C444" s="94"/>
    </row>
    <row r="445">
      <c r="A445" s="94"/>
      <c r="B445" s="94"/>
      <c r="C445" s="94"/>
    </row>
    <row r="446">
      <c r="A446" s="94"/>
      <c r="B446" s="94"/>
      <c r="C446" s="94"/>
    </row>
    <row r="447">
      <c r="A447" s="94"/>
      <c r="B447" s="94"/>
      <c r="C447" s="94"/>
    </row>
    <row r="448">
      <c r="A448" s="94"/>
      <c r="B448" s="94"/>
      <c r="C448" s="94"/>
    </row>
    <row r="449">
      <c r="A449" s="94"/>
      <c r="B449" s="94"/>
      <c r="C449" s="94"/>
    </row>
    <row r="450">
      <c r="A450" s="94"/>
      <c r="B450" s="94"/>
      <c r="C450" s="94"/>
    </row>
    <row r="451">
      <c r="A451" s="94"/>
      <c r="B451" s="94"/>
      <c r="C451" s="94"/>
    </row>
    <row r="452">
      <c r="A452" s="94"/>
      <c r="B452" s="94"/>
      <c r="C452" s="94"/>
    </row>
    <row r="453">
      <c r="A453" s="94"/>
      <c r="B453" s="94"/>
      <c r="C453" s="94"/>
    </row>
    <row r="454">
      <c r="A454" s="94"/>
      <c r="B454" s="94"/>
      <c r="C454" s="94"/>
    </row>
    <row r="455">
      <c r="A455" s="94"/>
      <c r="B455" s="94"/>
      <c r="C455" s="94"/>
    </row>
    <row r="456">
      <c r="A456" s="94"/>
      <c r="B456" s="94"/>
      <c r="C456" s="94"/>
    </row>
    <row r="457">
      <c r="A457" s="94"/>
      <c r="B457" s="94"/>
      <c r="C457" s="94"/>
    </row>
    <row r="458">
      <c r="A458" s="94"/>
      <c r="B458" s="94"/>
      <c r="C458" s="94"/>
    </row>
    <row r="459">
      <c r="A459" s="94"/>
      <c r="B459" s="94"/>
      <c r="C459" s="94"/>
    </row>
    <row r="460">
      <c r="A460" s="94"/>
      <c r="B460" s="94"/>
      <c r="C460" s="94"/>
    </row>
    <row r="461">
      <c r="A461" s="94"/>
      <c r="B461" s="94"/>
      <c r="C461" s="94"/>
    </row>
    <row r="462">
      <c r="A462" s="94"/>
      <c r="B462" s="94"/>
      <c r="C462" s="94"/>
    </row>
    <row r="463">
      <c r="A463" s="94"/>
      <c r="B463" s="94"/>
      <c r="C463" s="94"/>
    </row>
    <row r="464">
      <c r="A464" s="94"/>
      <c r="B464" s="94"/>
      <c r="C464" s="94"/>
    </row>
    <row r="465">
      <c r="A465" s="94"/>
      <c r="B465" s="94"/>
      <c r="C465" s="94"/>
    </row>
    <row r="466">
      <c r="A466" s="94"/>
      <c r="B466" s="94"/>
      <c r="C466" s="94"/>
    </row>
    <row r="467">
      <c r="A467" s="94"/>
      <c r="B467" s="94"/>
      <c r="C467" s="94"/>
    </row>
    <row r="468">
      <c r="A468" s="94"/>
      <c r="B468" s="94"/>
      <c r="C468" s="94"/>
    </row>
    <row r="469">
      <c r="A469" s="94"/>
      <c r="B469" s="94"/>
      <c r="C469" s="94"/>
    </row>
    <row r="470">
      <c r="A470" s="94"/>
      <c r="B470" s="94"/>
      <c r="C470" s="94"/>
    </row>
    <row r="471">
      <c r="A471" s="94"/>
      <c r="B471" s="94"/>
      <c r="C471" s="94"/>
    </row>
    <row r="472">
      <c r="A472" s="94"/>
      <c r="B472" s="94"/>
      <c r="C472" s="94"/>
    </row>
    <row r="473">
      <c r="A473" s="94"/>
      <c r="B473" s="94"/>
      <c r="C473" s="94"/>
    </row>
    <row r="474">
      <c r="A474" s="94"/>
      <c r="B474" s="94"/>
      <c r="C474" s="94"/>
    </row>
    <row r="475">
      <c r="A475" s="94"/>
      <c r="B475" s="94"/>
      <c r="C475" s="94"/>
    </row>
    <row r="476">
      <c r="A476" s="94"/>
      <c r="B476" s="94"/>
      <c r="C476" s="94"/>
    </row>
    <row r="477">
      <c r="A477" s="94"/>
      <c r="B477" s="94"/>
      <c r="C477" s="94"/>
    </row>
    <row r="478">
      <c r="A478" s="94"/>
      <c r="B478" s="94"/>
      <c r="C478" s="94"/>
    </row>
    <row r="479">
      <c r="A479" s="94"/>
      <c r="B479" s="94"/>
      <c r="C479" s="94"/>
    </row>
    <row r="480">
      <c r="A480" s="94"/>
      <c r="B480" s="94"/>
      <c r="C480" s="94"/>
    </row>
    <row r="481">
      <c r="A481" s="94"/>
      <c r="B481" s="94"/>
      <c r="C481" s="94"/>
    </row>
    <row r="482">
      <c r="A482" s="94"/>
      <c r="B482" s="94"/>
      <c r="C482" s="94"/>
    </row>
    <row r="483">
      <c r="A483" s="94"/>
      <c r="B483" s="94"/>
      <c r="C483" s="94"/>
    </row>
    <row r="484">
      <c r="A484" s="94"/>
      <c r="B484" s="94"/>
      <c r="C484" s="94"/>
    </row>
    <row r="485">
      <c r="A485" s="94"/>
      <c r="B485" s="94"/>
      <c r="C485" s="94"/>
    </row>
    <row r="486">
      <c r="A486" s="94"/>
      <c r="B486" s="94"/>
      <c r="C486" s="94"/>
    </row>
    <row r="487">
      <c r="A487" s="94"/>
      <c r="B487" s="94"/>
      <c r="C487" s="94"/>
    </row>
    <row r="488">
      <c r="A488" s="94"/>
      <c r="B488" s="94"/>
      <c r="C488" s="94"/>
    </row>
    <row r="489">
      <c r="A489" s="94"/>
      <c r="B489" s="94"/>
      <c r="C489" s="94"/>
    </row>
    <row r="490">
      <c r="A490" s="94"/>
      <c r="B490" s="94"/>
      <c r="C490" s="94"/>
    </row>
    <row r="491">
      <c r="A491" s="94"/>
      <c r="B491" s="94"/>
      <c r="C491" s="94"/>
    </row>
    <row r="492">
      <c r="A492" s="94"/>
      <c r="B492" s="94"/>
      <c r="C492" s="94"/>
    </row>
    <row r="493">
      <c r="A493" s="94"/>
      <c r="B493" s="94"/>
      <c r="C493" s="94"/>
    </row>
    <row r="494">
      <c r="A494" s="94"/>
      <c r="B494" s="94"/>
      <c r="C494" s="94"/>
    </row>
    <row r="495">
      <c r="A495" s="94"/>
      <c r="B495" s="94"/>
      <c r="C495" s="94"/>
    </row>
    <row r="496">
      <c r="A496" s="94"/>
      <c r="B496" s="94"/>
      <c r="C496" s="94"/>
    </row>
    <row r="497">
      <c r="A497" s="94"/>
      <c r="B497" s="94"/>
      <c r="C497" s="94"/>
    </row>
    <row r="498">
      <c r="A498" s="94"/>
      <c r="B498" s="94"/>
      <c r="C498" s="94"/>
    </row>
    <row r="499">
      <c r="A499" s="94"/>
      <c r="B499" s="94"/>
      <c r="C499" s="94"/>
    </row>
    <row r="500">
      <c r="A500" s="94"/>
      <c r="B500" s="94"/>
      <c r="C500" s="94"/>
    </row>
    <row r="501">
      <c r="A501" s="94"/>
      <c r="B501" s="94"/>
      <c r="C501" s="94"/>
    </row>
    <row r="502">
      <c r="A502" s="94"/>
      <c r="B502" s="94"/>
      <c r="C502" s="94"/>
    </row>
    <row r="503">
      <c r="A503" s="94"/>
      <c r="B503" s="94"/>
      <c r="C503" s="94"/>
    </row>
    <row r="504">
      <c r="A504" s="94"/>
      <c r="B504" s="94"/>
      <c r="C504" s="94"/>
    </row>
    <row r="505">
      <c r="A505" s="94"/>
      <c r="B505" s="94"/>
      <c r="C505" s="94"/>
    </row>
    <row r="506">
      <c r="A506" s="94"/>
      <c r="B506" s="94"/>
      <c r="C506" s="94"/>
    </row>
    <row r="507">
      <c r="A507" s="94"/>
      <c r="B507" s="94"/>
      <c r="C507" s="94"/>
    </row>
    <row r="508">
      <c r="A508" s="94"/>
      <c r="B508" s="94"/>
      <c r="C508" s="94"/>
    </row>
    <row r="509">
      <c r="A509" s="94"/>
      <c r="B509" s="94"/>
      <c r="C509" s="94"/>
    </row>
    <row r="510">
      <c r="A510" s="94"/>
      <c r="B510" s="94"/>
      <c r="C510" s="94"/>
    </row>
    <row r="511">
      <c r="A511" s="94"/>
      <c r="B511" s="94"/>
      <c r="C511" s="94"/>
    </row>
    <row r="512">
      <c r="A512" s="94"/>
      <c r="B512" s="94"/>
      <c r="C512" s="94"/>
    </row>
    <row r="513">
      <c r="A513" s="94"/>
      <c r="B513" s="94"/>
      <c r="C513" s="94"/>
    </row>
    <row r="514">
      <c r="A514" s="94"/>
      <c r="B514" s="94"/>
      <c r="C514" s="94"/>
    </row>
    <row r="515">
      <c r="A515" s="94"/>
      <c r="B515" s="94"/>
      <c r="C515" s="94"/>
    </row>
    <row r="516">
      <c r="A516" s="94"/>
      <c r="B516" s="94"/>
      <c r="C516" s="94"/>
    </row>
    <row r="517">
      <c r="A517" s="94"/>
      <c r="B517" s="94"/>
      <c r="C517" s="94"/>
    </row>
    <row r="518">
      <c r="A518" s="94"/>
      <c r="B518" s="94"/>
      <c r="C518" s="94"/>
    </row>
    <row r="519">
      <c r="A519" s="94"/>
      <c r="B519" s="94"/>
      <c r="C519" s="94"/>
    </row>
    <row r="520">
      <c r="A520" s="94"/>
      <c r="B520" s="94"/>
      <c r="C520" s="94"/>
    </row>
    <row r="521">
      <c r="A521" s="94"/>
      <c r="B521" s="94"/>
      <c r="C521" s="94"/>
    </row>
    <row r="522">
      <c r="A522" s="94"/>
      <c r="B522" s="94"/>
      <c r="C522" s="94"/>
    </row>
    <row r="523">
      <c r="A523" s="94"/>
      <c r="B523" s="94"/>
      <c r="C523" s="94"/>
    </row>
    <row r="524">
      <c r="A524" s="94"/>
      <c r="B524" s="94"/>
      <c r="C524" s="94"/>
    </row>
    <row r="525">
      <c r="A525" s="94"/>
      <c r="B525" s="94"/>
      <c r="C525" s="94"/>
    </row>
    <row r="526">
      <c r="A526" s="94"/>
      <c r="B526" s="94"/>
      <c r="C526" s="94"/>
    </row>
    <row r="527">
      <c r="A527" s="94"/>
      <c r="B527" s="94"/>
      <c r="C527" s="94"/>
    </row>
    <row r="528">
      <c r="A528" s="94"/>
      <c r="B528" s="94"/>
      <c r="C528" s="94"/>
    </row>
    <row r="529">
      <c r="A529" s="94"/>
      <c r="B529" s="94"/>
      <c r="C529" s="94"/>
    </row>
    <row r="530">
      <c r="A530" s="94"/>
      <c r="B530" s="94"/>
      <c r="C530" s="94"/>
    </row>
    <row r="531">
      <c r="A531" s="94"/>
      <c r="B531" s="94"/>
      <c r="C531" s="94"/>
    </row>
    <row r="532">
      <c r="A532" s="94"/>
      <c r="B532" s="94"/>
      <c r="C532" s="94"/>
    </row>
    <row r="533">
      <c r="A533" s="94"/>
      <c r="B533" s="94"/>
      <c r="C533" s="94"/>
    </row>
    <row r="534">
      <c r="A534" s="94"/>
      <c r="B534" s="94"/>
      <c r="C534" s="94"/>
    </row>
    <row r="535">
      <c r="A535" s="94"/>
      <c r="B535" s="94"/>
      <c r="C535" s="94"/>
    </row>
    <row r="536">
      <c r="A536" s="94"/>
      <c r="B536" s="94"/>
      <c r="C536" s="94"/>
    </row>
    <row r="537">
      <c r="A537" s="94"/>
      <c r="B537" s="94"/>
      <c r="C537" s="94"/>
    </row>
    <row r="538">
      <c r="A538" s="94"/>
      <c r="B538" s="94"/>
      <c r="C538" s="94"/>
    </row>
    <row r="539">
      <c r="A539" s="94"/>
      <c r="B539" s="94"/>
      <c r="C539" s="94"/>
    </row>
    <row r="540">
      <c r="A540" s="94"/>
      <c r="B540" s="94"/>
      <c r="C540" s="94"/>
    </row>
    <row r="541">
      <c r="A541" s="94"/>
      <c r="B541" s="94"/>
      <c r="C541" s="94"/>
    </row>
    <row r="542">
      <c r="A542" s="94"/>
      <c r="B542" s="94"/>
      <c r="C542" s="94"/>
    </row>
    <row r="543">
      <c r="A543" s="94"/>
      <c r="B543" s="94"/>
      <c r="C543" s="94"/>
    </row>
    <row r="544">
      <c r="A544" s="94"/>
      <c r="B544" s="94"/>
      <c r="C544" s="94"/>
    </row>
    <row r="545">
      <c r="A545" s="94"/>
      <c r="B545" s="94"/>
      <c r="C545" s="94"/>
    </row>
    <row r="546">
      <c r="A546" s="94"/>
      <c r="B546" s="94"/>
      <c r="C546" s="94"/>
    </row>
    <row r="547">
      <c r="A547" s="94"/>
      <c r="B547" s="94"/>
      <c r="C547" s="94"/>
    </row>
    <row r="548">
      <c r="A548" s="94"/>
      <c r="B548" s="94"/>
      <c r="C548" s="94"/>
    </row>
    <row r="549">
      <c r="A549" s="94"/>
      <c r="B549" s="94"/>
      <c r="C549" s="94"/>
    </row>
    <row r="550">
      <c r="A550" s="94"/>
      <c r="B550" s="94"/>
      <c r="C550" s="94"/>
    </row>
    <row r="551">
      <c r="A551" s="94"/>
      <c r="B551" s="94"/>
      <c r="C551" s="94"/>
    </row>
    <row r="552">
      <c r="A552" s="94"/>
      <c r="B552" s="94"/>
      <c r="C552" s="94"/>
    </row>
    <row r="553">
      <c r="A553" s="94"/>
      <c r="B553" s="94"/>
      <c r="C553" s="94"/>
    </row>
    <row r="554">
      <c r="A554" s="94"/>
      <c r="B554" s="94"/>
      <c r="C554" s="94"/>
    </row>
    <row r="555">
      <c r="A555" s="94"/>
      <c r="B555" s="94"/>
      <c r="C555" s="94"/>
    </row>
    <row r="556">
      <c r="A556" s="94"/>
      <c r="B556" s="94"/>
      <c r="C556" s="94"/>
    </row>
    <row r="557">
      <c r="A557" s="94"/>
      <c r="B557" s="94"/>
      <c r="C557" s="94"/>
    </row>
    <row r="558">
      <c r="A558" s="94"/>
      <c r="B558" s="94"/>
      <c r="C558" s="94"/>
    </row>
    <row r="559">
      <c r="A559" s="94"/>
      <c r="B559" s="94"/>
      <c r="C559" s="94"/>
    </row>
    <row r="560">
      <c r="A560" s="94"/>
      <c r="B560" s="94"/>
      <c r="C560" s="94"/>
    </row>
    <row r="561">
      <c r="A561" s="94"/>
      <c r="B561" s="94"/>
      <c r="C561" s="94"/>
    </row>
    <row r="562">
      <c r="A562" s="94"/>
      <c r="B562" s="94"/>
      <c r="C562" s="94"/>
    </row>
    <row r="563">
      <c r="A563" s="94"/>
      <c r="B563" s="94"/>
      <c r="C563" s="94"/>
    </row>
    <row r="564">
      <c r="A564" s="94"/>
      <c r="B564" s="94"/>
      <c r="C564" s="94"/>
    </row>
    <row r="565">
      <c r="A565" s="94"/>
      <c r="B565" s="94"/>
      <c r="C565" s="94"/>
    </row>
    <row r="566">
      <c r="A566" s="94"/>
      <c r="B566" s="94"/>
      <c r="C566" s="94"/>
    </row>
    <row r="567">
      <c r="A567" s="94"/>
      <c r="B567" s="94"/>
      <c r="C567" s="94"/>
    </row>
    <row r="568">
      <c r="A568" s="94"/>
      <c r="B568" s="94"/>
      <c r="C568" s="94"/>
    </row>
    <row r="569">
      <c r="A569" s="94"/>
      <c r="B569" s="94"/>
      <c r="C569" s="94"/>
    </row>
    <row r="570">
      <c r="A570" s="94"/>
      <c r="B570" s="94"/>
      <c r="C570" s="94"/>
    </row>
    <row r="571">
      <c r="A571" s="94"/>
      <c r="B571" s="94"/>
      <c r="C571" s="94"/>
    </row>
    <row r="572">
      <c r="A572" s="94"/>
      <c r="B572" s="94"/>
      <c r="C572" s="94"/>
    </row>
    <row r="573">
      <c r="A573" s="94"/>
      <c r="B573" s="94"/>
      <c r="C573" s="94"/>
    </row>
    <row r="574">
      <c r="A574" s="94"/>
      <c r="B574" s="94"/>
      <c r="C574" s="94"/>
    </row>
    <row r="575">
      <c r="A575" s="94"/>
      <c r="B575" s="94"/>
      <c r="C575" s="94"/>
    </row>
    <row r="576">
      <c r="A576" s="94"/>
      <c r="B576" s="94"/>
      <c r="C576" s="94"/>
    </row>
    <row r="577">
      <c r="A577" s="94"/>
      <c r="B577" s="94"/>
      <c r="C577" s="94"/>
    </row>
    <row r="578">
      <c r="A578" s="94"/>
      <c r="B578" s="94"/>
      <c r="C578" s="94"/>
    </row>
    <row r="579">
      <c r="A579" s="94"/>
      <c r="B579" s="94"/>
      <c r="C579" s="94"/>
    </row>
    <row r="580">
      <c r="A580" s="94"/>
      <c r="B580" s="94"/>
      <c r="C580" s="94"/>
    </row>
    <row r="581">
      <c r="A581" s="94"/>
      <c r="B581" s="94"/>
      <c r="C581" s="94"/>
    </row>
    <row r="582">
      <c r="A582" s="94"/>
      <c r="B582" s="94"/>
      <c r="C582" s="94"/>
    </row>
    <row r="583">
      <c r="A583" s="94"/>
      <c r="B583" s="94"/>
      <c r="C583" s="94"/>
    </row>
    <row r="584">
      <c r="A584" s="94"/>
      <c r="B584" s="94"/>
      <c r="C584" s="94"/>
    </row>
    <row r="585">
      <c r="A585" s="94"/>
      <c r="B585" s="94"/>
      <c r="C585" s="94"/>
    </row>
    <row r="586">
      <c r="A586" s="94"/>
      <c r="B586" s="94"/>
      <c r="C586" s="94"/>
    </row>
    <row r="587">
      <c r="A587" s="94"/>
      <c r="B587" s="94"/>
      <c r="C587" s="94"/>
    </row>
    <row r="588">
      <c r="A588" s="94"/>
      <c r="B588" s="94"/>
      <c r="C588" s="94"/>
    </row>
    <row r="589">
      <c r="A589" s="94"/>
      <c r="B589" s="94"/>
      <c r="C589" s="94"/>
    </row>
    <row r="590">
      <c r="A590" s="94"/>
      <c r="B590" s="94"/>
      <c r="C590" s="94"/>
    </row>
    <row r="591">
      <c r="A591" s="94"/>
      <c r="B591" s="94"/>
      <c r="C591" s="94"/>
    </row>
    <row r="592">
      <c r="A592" s="94"/>
      <c r="B592" s="94"/>
      <c r="C592" s="94"/>
    </row>
    <row r="593">
      <c r="A593" s="94"/>
      <c r="B593" s="94"/>
      <c r="C593" s="94"/>
    </row>
    <row r="594">
      <c r="A594" s="94"/>
      <c r="B594" s="94"/>
      <c r="C594" s="94"/>
    </row>
    <row r="595">
      <c r="A595" s="94"/>
      <c r="B595" s="94"/>
      <c r="C595" s="94"/>
    </row>
    <row r="596">
      <c r="A596" s="94"/>
      <c r="B596" s="94"/>
      <c r="C596" s="94"/>
    </row>
    <row r="597">
      <c r="A597" s="94"/>
      <c r="B597" s="94"/>
      <c r="C597" s="94"/>
    </row>
    <row r="598">
      <c r="A598" s="94"/>
      <c r="B598" s="94"/>
      <c r="C598" s="94"/>
    </row>
    <row r="599">
      <c r="A599" s="94"/>
      <c r="B599" s="94"/>
      <c r="C599" s="94"/>
    </row>
    <row r="600">
      <c r="A600" s="94"/>
      <c r="B600" s="94"/>
      <c r="C600" s="94"/>
    </row>
    <row r="601">
      <c r="A601" s="94"/>
      <c r="B601" s="94"/>
      <c r="C601" s="94"/>
    </row>
    <row r="602">
      <c r="A602" s="94"/>
      <c r="B602" s="94"/>
      <c r="C602" s="94"/>
    </row>
    <row r="603">
      <c r="A603" s="94"/>
      <c r="B603" s="94"/>
      <c r="C603" s="94"/>
    </row>
    <row r="604">
      <c r="A604" s="94"/>
      <c r="B604" s="94"/>
      <c r="C604" s="94"/>
    </row>
    <row r="605">
      <c r="A605" s="94"/>
      <c r="B605" s="94"/>
      <c r="C605" s="94"/>
    </row>
    <row r="606">
      <c r="A606" s="94"/>
      <c r="B606" s="94"/>
      <c r="C606" s="94"/>
    </row>
    <row r="607">
      <c r="A607" s="94"/>
      <c r="B607" s="94"/>
      <c r="C607" s="94"/>
    </row>
    <row r="608">
      <c r="A608" s="94"/>
      <c r="B608" s="94"/>
      <c r="C608" s="94"/>
    </row>
    <row r="609">
      <c r="A609" s="94"/>
      <c r="B609" s="94"/>
      <c r="C609" s="94"/>
    </row>
    <row r="610">
      <c r="A610" s="94"/>
      <c r="B610" s="94"/>
      <c r="C610" s="94"/>
    </row>
    <row r="611">
      <c r="A611" s="94"/>
      <c r="B611" s="94"/>
      <c r="C611" s="94"/>
    </row>
    <row r="612">
      <c r="A612" s="94"/>
      <c r="B612" s="94"/>
      <c r="C612" s="94"/>
    </row>
    <row r="613">
      <c r="A613" s="94"/>
      <c r="B613" s="94"/>
      <c r="C613" s="94"/>
    </row>
    <row r="614">
      <c r="A614" s="94"/>
      <c r="B614" s="94"/>
      <c r="C614" s="94"/>
    </row>
    <row r="615">
      <c r="A615" s="94"/>
      <c r="B615" s="94"/>
      <c r="C615" s="94"/>
    </row>
    <row r="616">
      <c r="A616" s="94"/>
      <c r="B616" s="94"/>
      <c r="C616" s="94"/>
    </row>
    <row r="617">
      <c r="A617" s="94"/>
      <c r="B617" s="94"/>
      <c r="C617" s="94"/>
    </row>
    <row r="618">
      <c r="A618" s="94"/>
      <c r="B618" s="94"/>
      <c r="C618" s="94"/>
    </row>
    <row r="619">
      <c r="A619" s="94"/>
      <c r="B619" s="94"/>
      <c r="C619" s="94"/>
    </row>
    <row r="620">
      <c r="A620" s="94"/>
      <c r="B620" s="94"/>
      <c r="C620" s="94"/>
    </row>
    <row r="621">
      <c r="A621" s="94"/>
      <c r="B621" s="94"/>
      <c r="C621" s="94"/>
    </row>
    <row r="622">
      <c r="A622" s="94"/>
      <c r="B622" s="94"/>
      <c r="C622" s="94"/>
    </row>
    <row r="623">
      <c r="A623" s="94"/>
      <c r="B623" s="94"/>
      <c r="C623" s="94"/>
    </row>
    <row r="624">
      <c r="A624" s="94"/>
      <c r="B624" s="94"/>
      <c r="C624" s="94"/>
    </row>
    <row r="625">
      <c r="A625" s="94"/>
      <c r="B625" s="94"/>
      <c r="C625" s="94"/>
    </row>
    <row r="626">
      <c r="A626" s="94"/>
      <c r="B626" s="94"/>
      <c r="C626" s="94"/>
    </row>
    <row r="627">
      <c r="A627" s="94"/>
      <c r="B627" s="94"/>
      <c r="C627" s="94"/>
    </row>
    <row r="628">
      <c r="A628" s="94"/>
      <c r="B628" s="94"/>
      <c r="C628" s="94"/>
    </row>
    <row r="629">
      <c r="A629" s="94"/>
      <c r="B629" s="94"/>
      <c r="C629" s="94"/>
    </row>
    <row r="630">
      <c r="A630" s="94"/>
      <c r="B630" s="94"/>
      <c r="C630" s="94"/>
    </row>
    <row r="631">
      <c r="A631" s="94"/>
      <c r="B631" s="94"/>
      <c r="C631" s="94"/>
    </row>
    <row r="632">
      <c r="A632" s="94"/>
      <c r="B632" s="94"/>
      <c r="C632" s="94"/>
    </row>
    <row r="633">
      <c r="A633" s="94"/>
      <c r="B633" s="94"/>
      <c r="C633" s="94"/>
    </row>
    <row r="634">
      <c r="A634" s="94"/>
      <c r="B634" s="94"/>
      <c r="C634" s="94"/>
    </row>
    <row r="635">
      <c r="A635" s="94"/>
      <c r="B635" s="94"/>
      <c r="C635" s="94"/>
    </row>
    <row r="636">
      <c r="A636" s="94"/>
      <c r="B636" s="94"/>
      <c r="C636" s="94"/>
    </row>
    <row r="637">
      <c r="A637" s="94"/>
      <c r="B637" s="94"/>
      <c r="C637" s="94"/>
    </row>
    <row r="638">
      <c r="A638" s="94"/>
      <c r="B638" s="94"/>
      <c r="C638" s="94"/>
    </row>
    <row r="639">
      <c r="A639" s="94"/>
      <c r="B639" s="94"/>
      <c r="C639" s="94"/>
    </row>
    <row r="640">
      <c r="A640" s="94"/>
      <c r="B640" s="94"/>
      <c r="C640" s="94"/>
    </row>
    <row r="641">
      <c r="A641" s="94"/>
      <c r="B641" s="94"/>
      <c r="C641" s="94"/>
    </row>
    <row r="642">
      <c r="A642" s="94"/>
      <c r="B642" s="94"/>
      <c r="C642" s="94"/>
    </row>
    <row r="643">
      <c r="A643" s="94"/>
      <c r="B643" s="94"/>
      <c r="C643" s="94"/>
    </row>
    <row r="644">
      <c r="A644" s="94"/>
      <c r="B644" s="94"/>
      <c r="C644" s="94"/>
    </row>
    <row r="645">
      <c r="A645" s="94"/>
      <c r="B645" s="94"/>
      <c r="C645" s="94"/>
    </row>
    <row r="646">
      <c r="A646" s="94"/>
      <c r="B646" s="94"/>
      <c r="C646" s="94"/>
    </row>
    <row r="647">
      <c r="A647" s="94"/>
      <c r="B647" s="94"/>
      <c r="C647" s="94"/>
    </row>
    <row r="648">
      <c r="A648" s="94"/>
      <c r="B648" s="94"/>
      <c r="C648" s="94"/>
    </row>
    <row r="649">
      <c r="A649" s="94"/>
      <c r="B649" s="94"/>
      <c r="C649" s="94"/>
    </row>
    <row r="650">
      <c r="A650" s="94"/>
      <c r="B650" s="94"/>
      <c r="C650" s="94"/>
    </row>
    <row r="651">
      <c r="A651" s="94"/>
      <c r="B651" s="94"/>
      <c r="C651" s="94"/>
    </row>
    <row r="652">
      <c r="A652" s="94"/>
      <c r="B652" s="94"/>
      <c r="C652" s="94"/>
    </row>
    <row r="653">
      <c r="A653" s="94"/>
      <c r="B653" s="94"/>
      <c r="C653" s="94"/>
    </row>
    <row r="654">
      <c r="A654" s="94"/>
      <c r="B654" s="94"/>
      <c r="C654" s="94"/>
    </row>
    <row r="655">
      <c r="A655" s="94"/>
      <c r="B655" s="94"/>
      <c r="C655" s="94"/>
    </row>
    <row r="656">
      <c r="A656" s="94"/>
      <c r="B656" s="94"/>
      <c r="C656" s="94"/>
    </row>
    <row r="657">
      <c r="A657" s="94"/>
      <c r="B657" s="94"/>
      <c r="C657" s="94"/>
    </row>
    <row r="658">
      <c r="A658" s="94"/>
      <c r="B658" s="94"/>
      <c r="C658" s="94"/>
    </row>
    <row r="659">
      <c r="A659" s="94"/>
      <c r="B659" s="94"/>
      <c r="C659" s="94"/>
    </row>
    <row r="660">
      <c r="A660" s="94"/>
      <c r="B660" s="94"/>
      <c r="C660" s="94"/>
    </row>
    <row r="661">
      <c r="A661" s="94"/>
      <c r="B661" s="94"/>
      <c r="C661" s="94"/>
    </row>
    <row r="662">
      <c r="A662" s="94"/>
      <c r="B662" s="94"/>
      <c r="C662" s="94"/>
    </row>
    <row r="663">
      <c r="A663" s="94"/>
      <c r="B663" s="94"/>
      <c r="C663" s="94"/>
    </row>
    <row r="664">
      <c r="A664" s="94"/>
      <c r="B664" s="94"/>
      <c r="C664" s="94"/>
    </row>
    <row r="665">
      <c r="A665" s="94"/>
      <c r="B665" s="94"/>
      <c r="C665" s="94"/>
    </row>
    <row r="666">
      <c r="A666" s="94"/>
      <c r="B666" s="94"/>
      <c r="C666" s="94"/>
    </row>
    <row r="667">
      <c r="A667" s="94"/>
      <c r="B667" s="94"/>
      <c r="C667" s="94"/>
    </row>
    <row r="668">
      <c r="A668" s="94"/>
      <c r="B668" s="94"/>
      <c r="C668" s="94"/>
    </row>
    <row r="669">
      <c r="A669" s="94"/>
      <c r="B669" s="94"/>
      <c r="C669" s="94"/>
    </row>
    <row r="670">
      <c r="A670" s="94"/>
      <c r="B670" s="94"/>
      <c r="C670" s="94"/>
    </row>
    <row r="671">
      <c r="A671" s="94"/>
      <c r="B671" s="94"/>
      <c r="C671" s="94"/>
    </row>
    <row r="672">
      <c r="A672" s="94"/>
      <c r="B672" s="94"/>
      <c r="C672" s="94"/>
    </row>
    <row r="673">
      <c r="A673" s="94"/>
      <c r="B673" s="94"/>
      <c r="C673" s="94"/>
    </row>
    <row r="674">
      <c r="A674" s="94"/>
      <c r="B674" s="94"/>
      <c r="C674" s="94"/>
    </row>
    <row r="675">
      <c r="A675" s="94"/>
      <c r="B675" s="94"/>
      <c r="C675" s="94"/>
    </row>
    <row r="676">
      <c r="A676" s="94"/>
      <c r="B676" s="94"/>
      <c r="C676" s="94"/>
    </row>
    <row r="677">
      <c r="A677" s="94"/>
      <c r="B677" s="94"/>
      <c r="C677" s="94"/>
    </row>
    <row r="678">
      <c r="A678" s="94"/>
      <c r="B678" s="94"/>
      <c r="C678" s="94"/>
    </row>
    <row r="679">
      <c r="A679" s="94"/>
      <c r="B679" s="94"/>
      <c r="C679" s="94"/>
    </row>
    <row r="680">
      <c r="A680" s="94"/>
      <c r="B680" s="94"/>
      <c r="C680" s="94"/>
    </row>
    <row r="681">
      <c r="A681" s="94"/>
      <c r="B681" s="94"/>
      <c r="C681" s="94"/>
    </row>
    <row r="682">
      <c r="A682" s="94"/>
      <c r="B682" s="94"/>
      <c r="C682" s="94"/>
    </row>
    <row r="683">
      <c r="A683" s="94"/>
      <c r="B683" s="94"/>
      <c r="C683" s="94"/>
    </row>
    <row r="684">
      <c r="A684" s="94"/>
      <c r="B684" s="94"/>
      <c r="C684" s="94"/>
    </row>
    <row r="685">
      <c r="A685" s="94"/>
      <c r="B685" s="94"/>
      <c r="C685" s="94"/>
    </row>
    <row r="686">
      <c r="A686" s="94"/>
      <c r="B686" s="94"/>
      <c r="C686" s="94"/>
    </row>
    <row r="687">
      <c r="A687" s="94"/>
      <c r="B687" s="94"/>
      <c r="C687" s="94"/>
    </row>
    <row r="688">
      <c r="A688" s="94"/>
      <c r="B688" s="94"/>
      <c r="C688" s="94"/>
    </row>
    <row r="689">
      <c r="A689" s="94"/>
      <c r="B689" s="94"/>
      <c r="C689" s="94"/>
    </row>
    <row r="690">
      <c r="A690" s="94"/>
      <c r="B690" s="94"/>
      <c r="C690" s="94"/>
    </row>
    <row r="691">
      <c r="A691" s="94"/>
      <c r="B691" s="94"/>
      <c r="C691" s="94"/>
    </row>
    <row r="692">
      <c r="A692" s="94"/>
      <c r="B692" s="94"/>
      <c r="C692" s="94"/>
    </row>
    <row r="693">
      <c r="A693" s="94"/>
      <c r="B693" s="94"/>
      <c r="C693" s="94"/>
    </row>
    <row r="694">
      <c r="A694" s="94"/>
      <c r="B694" s="94"/>
      <c r="C694" s="94"/>
    </row>
    <row r="695">
      <c r="A695" s="94"/>
      <c r="B695" s="94"/>
      <c r="C695" s="94"/>
    </row>
    <row r="696">
      <c r="A696" s="94"/>
      <c r="B696" s="94"/>
      <c r="C696" s="94"/>
    </row>
    <row r="697">
      <c r="A697" s="94"/>
      <c r="B697" s="94"/>
      <c r="C697" s="94"/>
    </row>
    <row r="698">
      <c r="A698" s="94"/>
      <c r="B698" s="94"/>
      <c r="C698" s="94"/>
    </row>
    <row r="699">
      <c r="A699" s="94"/>
      <c r="B699" s="94"/>
      <c r="C699" s="94"/>
    </row>
    <row r="700">
      <c r="A700" s="94"/>
      <c r="B700" s="94"/>
      <c r="C700" s="94"/>
    </row>
    <row r="701">
      <c r="A701" s="94"/>
      <c r="B701" s="94"/>
      <c r="C701" s="94"/>
    </row>
    <row r="702">
      <c r="A702" s="94"/>
      <c r="B702" s="94"/>
      <c r="C702" s="94"/>
    </row>
    <row r="703">
      <c r="A703" s="94"/>
      <c r="B703" s="94"/>
      <c r="C703" s="94"/>
    </row>
    <row r="704">
      <c r="A704" s="94"/>
      <c r="B704" s="94"/>
      <c r="C704" s="94"/>
    </row>
    <row r="705">
      <c r="A705" s="94"/>
      <c r="B705" s="94"/>
      <c r="C705" s="94"/>
    </row>
    <row r="706">
      <c r="A706" s="94"/>
      <c r="B706" s="94"/>
      <c r="C706" s="94"/>
    </row>
    <row r="707">
      <c r="A707" s="94"/>
      <c r="B707" s="94"/>
      <c r="C707" s="94"/>
    </row>
    <row r="708">
      <c r="A708" s="94"/>
      <c r="B708" s="94"/>
      <c r="C708" s="94"/>
    </row>
    <row r="709">
      <c r="A709" s="94"/>
      <c r="B709" s="94"/>
      <c r="C709" s="94"/>
    </row>
    <row r="710">
      <c r="A710" s="94"/>
      <c r="B710" s="94"/>
      <c r="C710" s="94"/>
    </row>
    <row r="711">
      <c r="A711" s="94"/>
      <c r="B711" s="94"/>
      <c r="C711" s="94"/>
    </row>
    <row r="712">
      <c r="A712" s="94"/>
      <c r="B712" s="94"/>
      <c r="C712" s="94"/>
    </row>
    <row r="713">
      <c r="A713" s="94"/>
      <c r="B713" s="94"/>
      <c r="C713" s="94"/>
    </row>
    <row r="714">
      <c r="A714" s="94"/>
      <c r="B714" s="94"/>
      <c r="C714" s="94"/>
    </row>
    <row r="715">
      <c r="A715" s="94"/>
      <c r="B715" s="94"/>
      <c r="C715" s="94"/>
    </row>
    <row r="716">
      <c r="A716" s="94"/>
      <c r="B716" s="94"/>
      <c r="C716" s="94"/>
    </row>
    <row r="717">
      <c r="A717" s="94"/>
      <c r="B717" s="94"/>
      <c r="C717" s="94"/>
    </row>
    <row r="718">
      <c r="A718" s="94"/>
      <c r="B718" s="94"/>
      <c r="C718" s="94"/>
    </row>
    <row r="719">
      <c r="A719" s="94"/>
      <c r="B719" s="94"/>
      <c r="C719" s="94"/>
    </row>
    <row r="720">
      <c r="A720" s="94"/>
      <c r="B720" s="94"/>
      <c r="C720" s="94"/>
    </row>
    <row r="721">
      <c r="A721" s="94"/>
      <c r="B721" s="94"/>
      <c r="C721" s="94"/>
    </row>
    <row r="722">
      <c r="A722" s="94"/>
      <c r="B722" s="94"/>
      <c r="C722" s="94"/>
    </row>
    <row r="723">
      <c r="A723" s="94"/>
      <c r="B723" s="94"/>
      <c r="C723" s="94"/>
    </row>
    <row r="724">
      <c r="A724" s="94"/>
      <c r="B724" s="94"/>
      <c r="C724" s="94"/>
    </row>
    <row r="725">
      <c r="A725" s="94"/>
      <c r="B725" s="94"/>
      <c r="C725" s="94"/>
    </row>
    <row r="726">
      <c r="A726" s="94"/>
      <c r="B726" s="94"/>
      <c r="C726" s="94"/>
    </row>
    <row r="727">
      <c r="A727" s="94"/>
      <c r="B727" s="94"/>
      <c r="C727" s="94"/>
    </row>
    <row r="728">
      <c r="A728" s="94"/>
      <c r="B728" s="94"/>
      <c r="C728" s="94"/>
    </row>
    <row r="729">
      <c r="A729" s="94"/>
      <c r="B729" s="94"/>
      <c r="C729" s="94"/>
    </row>
    <row r="730">
      <c r="A730" s="94"/>
      <c r="B730" s="94"/>
      <c r="C730" s="94"/>
    </row>
    <row r="731">
      <c r="A731" s="94"/>
      <c r="B731" s="94"/>
      <c r="C731" s="94"/>
    </row>
    <row r="732">
      <c r="A732" s="94"/>
      <c r="B732" s="94"/>
      <c r="C732" s="94"/>
    </row>
    <row r="733">
      <c r="A733" s="94"/>
      <c r="B733" s="94"/>
      <c r="C733" s="94"/>
    </row>
    <row r="734">
      <c r="A734" s="94"/>
      <c r="B734" s="94"/>
      <c r="C734" s="94"/>
    </row>
    <row r="735">
      <c r="A735" s="94"/>
      <c r="B735" s="94"/>
      <c r="C735" s="94"/>
    </row>
    <row r="736">
      <c r="A736" s="94"/>
      <c r="B736" s="94"/>
      <c r="C736" s="94"/>
    </row>
    <row r="737">
      <c r="A737" s="94"/>
      <c r="B737" s="94"/>
      <c r="C737" s="94"/>
    </row>
    <row r="738">
      <c r="A738" s="94"/>
      <c r="B738" s="94"/>
      <c r="C738" s="94"/>
    </row>
    <row r="739">
      <c r="A739" s="94"/>
      <c r="B739" s="94"/>
      <c r="C739" s="94"/>
    </row>
    <row r="740">
      <c r="A740" s="94"/>
      <c r="B740" s="94"/>
      <c r="C740" s="94"/>
    </row>
    <row r="741">
      <c r="A741" s="94"/>
      <c r="B741" s="94"/>
      <c r="C741" s="94"/>
    </row>
    <row r="742">
      <c r="A742" s="94"/>
      <c r="B742" s="94"/>
      <c r="C742" s="94"/>
    </row>
    <row r="743">
      <c r="A743" s="94"/>
      <c r="B743" s="94"/>
      <c r="C743" s="94"/>
    </row>
    <row r="744">
      <c r="A744" s="94"/>
      <c r="B744" s="94"/>
      <c r="C744" s="94"/>
    </row>
    <row r="745">
      <c r="A745" s="94"/>
      <c r="B745" s="94"/>
      <c r="C745" s="94"/>
    </row>
    <row r="746">
      <c r="A746" s="94"/>
      <c r="B746" s="94"/>
      <c r="C746" s="94"/>
    </row>
    <row r="747">
      <c r="A747" s="94"/>
      <c r="B747" s="94"/>
      <c r="C747" s="94"/>
    </row>
    <row r="748">
      <c r="A748" s="94"/>
      <c r="B748" s="94"/>
      <c r="C748" s="94"/>
    </row>
    <row r="749">
      <c r="A749" s="94"/>
      <c r="B749" s="94"/>
      <c r="C749" s="94"/>
    </row>
    <row r="750">
      <c r="A750" s="94"/>
      <c r="B750" s="94"/>
      <c r="C750" s="94"/>
    </row>
    <row r="751">
      <c r="A751" s="94"/>
      <c r="B751" s="94"/>
      <c r="C751" s="94"/>
    </row>
    <row r="752">
      <c r="A752" s="94"/>
      <c r="B752" s="94"/>
      <c r="C752" s="94"/>
    </row>
    <row r="753">
      <c r="A753" s="94"/>
      <c r="B753" s="94"/>
      <c r="C753" s="94"/>
    </row>
    <row r="754">
      <c r="A754" s="94"/>
      <c r="B754" s="94"/>
      <c r="C754" s="94"/>
    </row>
    <row r="755">
      <c r="A755" s="94"/>
      <c r="B755" s="94"/>
      <c r="C755" s="94"/>
    </row>
    <row r="756">
      <c r="A756" s="94"/>
      <c r="B756" s="94"/>
      <c r="C756" s="94"/>
    </row>
    <row r="757">
      <c r="A757" s="94"/>
      <c r="B757" s="94"/>
      <c r="C757" s="94"/>
    </row>
    <row r="758">
      <c r="A758" s="94"/>
      <c r="B758" s="94"/>
      <c r="C758" s="94"/>
    </row>
    <row r="759">
      <c r="A759" s="94"/>
      <c r="B759" s="94"/>
      <c r="C759" s="94"/>
    </row>
    <row r="760">
      <c r="A760" s="94"/>
      <c r="B760" s="94"/>
      <c r="C760" s="94"/>
    </row>
    <row r="761">
      <c r="A761" s="94"/>
      <c r="B761" s="94"/>
      <c r="C761" s="94"/>
    </row>
    <row r="762">
      <c r="A762" s="94"/>
      <c r="B762" s="94"/>
      <c r="C762" s="94"/>
    </row>
    <row r="763">
      <c r="A763" s="94"/>
      <c r="B763" s="94"/>
      <c r="C763" s="94"/>
    </row>
    <row r="764">
      <c r="A764" s="94"/>
      <c r="B764" s="94"/>
      <c r="C764" s="94"/>
    </row>
    <row r="765">
      <c r="A765" s="94"/>
      <c r="B765" s="94"/>
      <c r="C765" s="94"/>
    </row>
    <row r="766">
      <c r="A766" s="94"/>
      <c r="B766" s="94"/>
      <c r="C766" s="94"/>
    </row>
    <row r="767">
      <c r="A767" s="94"/>
      <c r="B767" s="94"/>
      <c r="C767" s="94"/>
    </row>
    <row r="768">
      <c r="A768" s="94"/>
      <c r="B768" s="94"/>
      <c r="C768" s="94"/>
    </row>
    <row r="769">
      <c r="A769" s="94"/>
      <c r="B769" s="94"/>
      <c r="C769" s="94"/>
    </row>
    <row r="770">
      <c r="A770" s="94"/>
      <c r="B770" s="94"/>
      <c r="C770" s="94"/>
    </row>
    <row r="771">
      <c r="A771" s="94"/>
      <c r="B771" s="94"/>
      <c r="C771" s="94"/>
    </row>
    <row r="772">
      <c r="A772" s="94"/>
      <c r="B772" s="94"/>
      <c r="C772" s="94"/>
    </row>
    <row r="773">
      <c r="A773" s="94"/>
      <c r="B773" s="94"/>
      <c r="C773" s="94"/>
    </row>
    <row r="774">
      <c r="A774" s="94"/>
      <c r="B774" s="94"/>
      <c r="C774" s="94"/>
    </row>
    <row r="775">
      <c r="A775" s="94"/>
      <c r="B775" s="94"/>
      <c r="C775" s="94"/>
    </row>
    <row r="776">
      <c r="A776" s="94"/>
      <c r="B776" s="94"/>
      <c r="C776" s="94"/>
    </row>
    <row r="777">
      <c r="A777" s="94"/>
      <c r="B777" s="94"/>
      <c r="C777" s="94"/>
    </row>
    <row r="778">
      <c r="A778" s="94"/>
      <c r="B778" s="94"/>
      <c r="C778" s="94"/>
    </row>
    <row r="779">
      <c r="A779" s="94"/>
      <c r="B779" s="94"/>
      <c r="C779" s="94"/>
    </row>
    <row r="780">
      <c r="A780" s="94"/>
      <c r="B780" s="94"/>
      <c r="C780" s="94"/>
    </row>
    <row r="781">
      <c r="A781" s="94"/>
      <c r="B781" s="94"/>
      <c r="C781" s="94"/>
    </row>
    <row r="782">
      <c r="A782" s="94"/>
      <c r="B782" s="94"/>
      <c r="C782" s="94"/>
    </row>
    <row r="783">
      <c r="A783" s="94"/>
      <c r="B783" s="94"/>
      <c r="C783" s="94"/>
    </row>
    <row r="784">
      <c r="A784" s="94"/>
      <c r="B784" s="94"/>
      <c r="C784" s="94"/>
    </row>
    <row r="785">
      <c r="A785" s="94"/>
      <c r="B785" s="94"/>
      <c r="C785" s="94"/>
    </row>
    <row r="786">
      <c r="A786" s="94"/>
      <c r="B786" s="94"/>
      <c r="C786" s="94"/>
    </row>
    <row r="787">
      <c r="A787" s="94"/>
      <c r="B787" s="94"/>
      <c r="C787" s="94"/>
    </row>
    <row r="788">
      <c r="A788" s="94"/>
      <c r="B788" s="94"/>
      <c r="C788" s="94"/>
    </row>
    <row r="789">
      <c r="A789" s="94"/>
      <c r="B789" s="94"/>
      <c r="C789" s="94"/>
    </row>
    <row r="790">
      <c r="A790" s="94"/>
      <c r="B790" s="94"/>
      <c r="C790" s="94"/>
    </row>
    <row r="791">
      <c r="A791" s="94"/>
      <c r="B791" s="94"/>
      <c r="C791" s="94"/>
    </row>
    <row r="792">
      <c r="A792" s="94"/>
      <c r="B792" s="94"/>
      <c r="C792" s="94"/>
    </row>
    <row r="793">
      <c r="A793" s="94"/>
      <c r="B793" s="94"/>
      <c r="C793" s="94"/>
    </row>
    <row r="794">
      <c r="A794" s="94"/>
      <c r="B794" s="94"/>
      <c r="C794" s="94"/>
    </row>
    <row r="795">
      <c r="A795" s="94"/>
      <c r="B795" s="94"/>
      <c r="C795" s="94"/>
    </row>
    <row r="796">
      <c r="A796" s="94"/>
      <c r="B796" s="94"/>
      <c r="C796" s="94"/>
    </row>
    <row r="797">
      <c r="A797" s="94"/>
      <c r="B797" s="94"/>
      <c r="C797" s="94"/>
    </row>
    <row r="798">
      <c r="A798" s="94"/>
      <c r="B798" s="94"/>
      <c r="C798" s="94"/>
    </row>
    <row r="799">
      <c r="A799" s="94"/>
      <c r="B799" s="94"/>
      <c r="C799" s="94"/>
    </row>
    <row r="800">
      <c r="A800" s="94"/>
      <c r="B800" s="94"/>
      <c r="C800" s="94"/>
    </row>
    <row r="801">
      <c r="A801" s="94"/>
      <c r="B801" s="94"/>
      <c r="C801" s="94"/>
    </row>
    <row r="802">
      <c r="A802" s="94"/>
      <c r="B802" s="94"/>
      <c r="C802" s="94"/>
    </row>
    <row r="803">
      <c r="A803" s="94"/>
      <c r="B803" s="94"/>
      <c r="C803" s="94"/>
    </row>
    <row r="804">
      <c r="A804" s="94"/>
      <c r="B804" s="94"/>
      <c r="C804" s="94"/>
    </row>
    <row r="805">
      <c r="A805" s="94"/>
      <c r="B805" s="94"/>
      <c r="C805" s="94"/>
    </row>
    <row r="806">
      <c r="A806" s="94"/>
      <c r="B806" s="94"/>
      <c r="C806" s="94"/>
    </row>
    <row r="807">
      <c r="A807" s="94"/>
      <c r="B807" s="94"/>
      <c r="C807" s="94"/>
    </row>
    <row r="808">
      <c r="A808" s="94"/>
      <c r="B808" s="94"/>
      <c r="C808" s="94"/>
    </row>
    <row r="809">
      <c r="A809" s="94"/>
      <c r="B809" s="94"/>
      <c r="C809" s="94"/>
    </row>
    <row r="810">
      <c r="A810" s="94"/>
      <c r="B810" s="94"/>
      <c r="C810" s="94"/>
    </row>
    <row r="811">
      <c r="A811" s="94"/>
      <c r="B811" s="94"/>
      <c r="C811" s="94"/>
    </row>
    <row r="812">
      <c r="A812" s="94"/>
      <c r="B812" s="94"/>
      <c r="C812" s="94"/>
    </row>
    <row r="813">
      <c r="A813" s="94"/>
      <c r="B813" s="94"/>
      <c r="C813" s="94"/>
    </row>
    <row r="814">
      <c r="A814" s="94"/>
      <c r="B814" s="94"/>
      <c r="C814" s="94"/>
    </row>
    <row r="815">
      <c r="A815" s="94"/>
      <c r="B815" s="94"/>
      <c r="C815" s="94"/>
    </row>
    <row r="816">
      <c r="A816" s="94"/>
      <c r="B816" s="94"/>
      <c r="C816" s="94"/>
    </row>
    <row r="817">
      <c r="A817" s="94"/>
      <c r="B817" s="94"/>
      <c r="C817" s="94"/>
    </row>
    <row r="818">
      <c r="A818" s="94"/>
      <c r="B818" s="94"/>
      <c r="C818" s="94"/>
    </row>
    <row r="819">
      <c r="A819" s="94"/>
      <c r="B819" s="94"/>
      <c r="C819" s="94"/>
    </row>
    <row r="820">
      <c r="A820" s="94"/>
      <c r="B820" s="94"/>
      <c r="C820" s="94"/>
    </row>
    <row r="821">
      <c r="A821" s="94"/>
      <c r="B821" s="94"/>
      <c r="C821" s="94"/>
    </row>
    <row r="822">
      <c r="A822" s="94"/>
      <c r="B822" s="94"/>
      <c r="C822" s="94"/>
    </row>
    <row r="823">
      <c r="A823" s="94"/>
      <c r="B823" s="94"/>
      <c r="C823" s="94"/>
    </row>
    <row r="824">
      <c r="A824" s="94"/>
      <c r="B824" s="94"/>
      <c r="C824" s="94"/>
    </row>
    <row r="825">
      <c r="A825" s="94"/>
      <c r="B825" s="94"/>
      <c r="C825" s="94"/>
    </row>
    <row r="826">
      <c r="A826" s="94"/>
      <c r="B826" s="94"/>
      <c r="C826" s="94"/>
    </row>
    <row r="827">
      <c r="A827" s="94"/>
      <c r="B827" s="94"/>
      <c r="C827" s="94"/>
    </row>
    <row r="828">
      <c r="A828" s="94"/>
      <c r="B828" s="94"/>
      <c r="C828" s="94"/>
    </row>
    <row r="829">
      <c r="A829" s="94"/>
      <c r="B829" s="94"/>
      <c r="C829" s="94"/>
    </row>
    <row r="830">
      <c r="A830" s="94"/>
      <c r="B830" s="94"/>
      <c r="C830" s="94"/>
    </row>
    <row r="831">
      <c r="A831" s="94"/>
      <c r="B831" s="94"/>
      <c r="C831" s="94"/>
    </row>
    <row r="832">
      <c r="A832" s="94"/>
      <c r="B832" s="94"/>
      <c r="C832" s="94"/>
    </row>
    <row r="833">
      <c r="A833" s="94"/>
      <c r="B833" s="94"/>
      <c r="C833" s="94"/>
    </row>
    <row r="834">
      <c r="A834" s="94"/>
      <c r="B834" s="94"/>
      <c r="C834" s="94"/>
    </row>
    <row r="835">
      <c r="A835" s="94"/>
      <c r="B835" s="94"/>
      <c r="C835" s="94"/>
    </row>
    <row r="836">
      <c r="A836" s="94"/>
      <c r="B836" s="94"/>
      <c r="C836" s="94"/>
    </row>
    <row r="837">
      <c r="A837" s="94"/>
      <c r="B837" s="94"/>
      <c r="C837" s="94"/>
    </row>
    <row r="838">
      <c r="A838" s="94"/>
      <c r="B838" s="94"/>
      <c r="C838" s="94"/>
    </row>
    <row r="839">
      <c r="A839" s="94"/>
      <c r="B839" s="94"/>
      <c r="C839" s="94"/>
    </row>
    <row r="840">
      <c r="A840" s="94"/>
      <c r="B840" s="94"/>
      <c r="C840" s="94"/>
    </row>
    <row r="841">
      <c r="A841" s="94"/>
      <c r="B841" s="94"/>
      <c r="C841" s="94"/>
    </row>
    <row r="842">
      <c r="A842" s="94"/>
      <c r="B842" s="94"/>
      <c r="C842" s="94"/>
    </row>
    <row r="843">
      <c r="A843" s="94"/>
      <c r="B843" s="94"/>
      <c r="C843" s="94"/>
    </row>
    <row r="844">
      <c r="A844" s="94"/>
      <c r="B844" s="94"/>
      <c r="C844" s="94"/>
    </row>
    <row r="845">
      <c r="A845" s="94"/>
      <c r="B845" s="94"/>
      <c r="C845" s="94"/>
    </row>
    <row r="846">
      <c r="A846" s="94"/>
      <c r="B846" s="94"/>
      <c r="C846" s="94"/>
    </row>
    <row r="847">
      <c r="A847" s="94"/>
      <c r="B847" s="94"/>
      <c r="C847" s="94"/>
    </row>
    <row r="848">
      <c r="A848" s="94"/>
      <c r="B848" s="94"/>
      <c r="C848" s="94"/>
    </row>
    <row r="849">
      <c r="A849" s="94"/>
      <c r="B849" s="94"/>
      <c r="C849" s="94"/>
    </row>
    <row r="850">
      <c r="A850" s="94"/>
      <c r="B850" s="94"/>
      <c r="C850" s="94"/>
    </row>
    <row r="851">
      <c r="A851" s="94"/>
      <c r="B851" s="94"/>
      <c r="C851" s="94"/>
    </row>
    <row r="852">
      <c r="A852" s="94"/>
      <c r="B852" s="94"/>
      <c r="C852" s="94"/>
    </row>
    <row r="853">
      <c r="A853" s="94"/>
      <c r="B853" s="94"/>
      <c r="C853" s="94"/>
    </row>
    <row r="854">
      <c r="A854" s="94"/>
      <c r="B854" s="94"/>
      <c r="C854" s="94"/>
    </row>
    <row r="855">
      <c r="A855" s="94"/>
      <c r="B855" s="94"/>
      <c r="C855" s="94"/>
    </row>
    <row r="856">
      <c r="A856" s="94"/>
      <c r="B856" s="94"/>
      <c r="C856" s="94"/>
    </row>
    <row r="857">
      <c r="A857" s="94"/>
      <c r="B857" s="94"/>
      <c r="C857" s="94"/>
    </row>
    <row r="858">
      <c r="A858" s="94"/>
      <c r="B858" s="94"/>
      <c r="C858" s="94"/>
    </row>
    <row r="859">
      <c r="A859" s="94"/>
      <c r="B859" s="94"/>
      <c r="C859" s="94"/>
    </row>
    <row r="860">
      <c r="A860" s="94"/>
      <c r="B860" s="94"/>
      <c r="C860" s="94"/>
    </row>
    <row r="861">
      <c r="A861" s="94"/>
      <c r="B861" s="94"/>
      <c r="C861" s="94"/>
    </row>
    <row r="862">
      <c r="A862" s="94"/>
      <c r="B862" s="94"/>
      <c r="C862" s="94"/>
    </row>
    <row r="863">
      <c r="A863" s="94"/>
      <c r="B863" s="94"/>
      <c r="C863" s="94"/>
    </row>
    <row r="864">
      <c r="A864" s="94"/>
      <c r="B864" s="94"/>
      <c r="C864" s="94"/>
    </row>
    <row r="865">
      <c r="A865" s="94"/>
      <c r="B865" s="94"/>
      <c r="C865" s="94"/>
    </row>
    <row r="866">
      <c r="A866" s="94"/>
      <c r="B866" s="94"/>
      <c r="C866" s="94"/>
    </row>
    <row r="867">
      <c r="A867" s="94"/>
      <c r="B867" s="94"/>
      <c r="C867" s="94"/>
    </row>
    <row r="868">
      <c r="A868" s="94"/>
      <c r="B868" s="94"/>
      <c r="C868" s="94"/>
    </row>
    <row r="869">
      <c r="A869" s="94"/>
      <c r="B869" s="94"/>
      <c r="C869" s="94"/>
    </row>
    <row r="870">
      <c r="A870" s="94"/>
      <c r="B870" s="94"/>
      <c r="C870" s="94"/>
    </row>
    <row r="871">
      <c r="A871" s="94"/>
      <c r="B871" s="94"/>
      <c r="C871" s="94"/>
    </row>
    <row r="872">
      <c r="A872" s="94"/>
      <c r="B872" s="94"/>
      <c r="C872" s="94"/>
    </row>
    <row r="873">
      <c r="A873" s="94"/>
      <c r="B873" s="94"/>
      <c r="C873" s="94"/>
    </row>
    <row r="874">
      <c r="A874" s="94"/>
      <c r="B874" s="94"/>
      <c r="C874" s="94"/>
    </row>
    <row r="875">
      <c r="A875" s="94"/>
      <c r="B875" s="94"/>
      <c r="C875" s="94"/>
    </row>
    <row r="876">
      <c r="A876" s="94"/>
      <c r="B876" s="94"/>
      <c r="C876" s="94"/>
    </row>
    <row r="877">
      <c r="A877" s="94"/>
      <c r="B877" s="94"/>
      <c r="C877" s="94"/>
    </row>
    <row r="878">
      <c r="A878" s="94"/>
      <c r="B878" s="94"/>
      <c r="C878" s="94"/>
    </row>
    <row r="879">
      <c r="A879" s="94"/>
      <c r="B879" s="94"/>
      <c r="C879" s="94"/>
    </row>
    <row r="880">
      <c r="A880" s="94"/>
      <c r="B880" s="94"/>
      <c r="C880" s="94"/>
    </row>
    <row r="881">
      <c r="A881" s="94"/>
      <c r="B881" s="94"/>
      <c r="C881" s="94"/>
    </row>
    <row r="882">
      <c r="A882" s="94"/>
      <c r="B882" s="94"/>
      <c r="C882" s="94"/>
    </row>
    <row r="883">
      <c r="A883" s="94"/>
      <c r="B883" s="94"/>
      <c r="C883" s="94"/>
    </row>
    <row r="884">
      <c r="A884" s="94"/>
      <c r="B884" s="94"/>
      <c r="C884" s="94"/>
    </row>
    <row r="885">
      <c r="A885" s="94"/>
      <c r="B885" s="94"/>
      <c r="C885" s="94"/>
    </row>
    <row r="886">
      <c r="A886" s="94"/>
      <c r="B886" s="94"/>
      <c r="C886" s="94"/>
    </row>
    <row r="887">
      <c r="A887" s="94"/>
      <c r="B887" s="94"/>
      <c r="C887" s="94"/>
    </row>
    <row r="888">
      <c r="A888" s="94"/>
      <c r="B888" s="94"/>
      <c r="C888" s="94"/>
    </row>
    <row r="889">
      <c r="A889" s="94"/>
      <c r="B889" s="94"/>
      <c r="C889" s="94"/>
    </row>
    <row r="890">
      <c r="A890" s="94"/>
      <c r="B890" s="94"/>
      <c r="C890" s="94"/>
    </row>
    <row r="891">
      <c r="A891" s="94"/>
      <c r="B891" s="94"/>
      <c r="C891" s="94"/>
    </row>
    <row r="892">
      <c r="A892" s="94"/>
      <c r="B892" s="94"/>
      <c r="C892" s="94"/>
    </row>
    <row r="893">
      <c r="A893" s="94"/>
      <c r="B893" s="94"/>
      <c r="C893" s="94"/>
    </row>
    <row r="894">
      <c r="A894" s="94"/>
      <c r="B894" s="94"/>
      <c r="C894" s="94"/>
    </row>
    <row r="895">
      <c r="A895" s="94"/>
      <c r="B895" s="94"/>
      <c r="C895" s="94"/>
    </row>
    <row r="896">
      <c r="A896" s="94"/>
      <c r="B896" s="94"/>
      <c r="C896" s="94"/>
    </row>
    <row r="897">
      <c r="A897" s="94"/>
      <c r="B897" s="94"/>
      <c r="C897" s="94"/>
    </row>
    <row r="898">
      <c r="A898" s="94"/>
      <c r="B898" s="94"/>
      <c r="C898" s="94"/>
    </row>
    <row r="899">
      <c r="A899" s="94"/>
      <c r="B899" s="94"/>
      <c r="C899" s="94"/>
    </row>
    <row r="900">
      <c r="A900" s="94"/>
      <c r="B900" s="94"/>
      <c r="C900" s="94"/>
    </row>
    <row r="901">
      <c r="A901" s="94"/>
      <c r="B901" s="94"/>
      <c r="C901" s="94"/>
    </row>
    <row r="902">
      <c r="A902" s="94"/>
      <c r="B902" s="94"/>
      <c r="C902" s="94"/>
    </row>
    <row r="903">
      <c r="A903" s="94"/>
      <c r="B903" s="94"/>
      <c r="C903" s="94"/>
    </row>
    <row r="904">
      <c r="A904" s="94"/>
      <c r="B904" s="94"/>
      <c r="C904" s="94"/>
    </row>
    <row r="905">
      <c r="A905" s="94"/>
      <c r="B905" s="94"/>
      <c r="C905" s="94"/>
    </row>
    <row r="906">
      <c r="A906" s="94"/>
      <c r="B906" s="94"/>
      <c r="C906" s="94"/>
    </row>
    <row r="907">
      <c r="A907" s="94"/>
      <c r="B907" s="94"/>
      <c r="C907" s="94"/>
    </row>
    <row r="908">
      <c r="A908" s="94"/>
      <c r="B908" s="94"/>
      <c r="C908" s="94"/>
    </row>
    <row r="909">
      <c r="A909" s="94"/>
      <c r="B909" s="94"/>
      <c r="C909" s="94"/>
    </row>
    <row r="910">
      <c r="A910" s="94"/>
      <c r="B910" s="94"/>
      <c r="C910" s="94"/>
    </row>
    <row r="911">
      <c r="A911" s="94"/>
      <c r="B911" s="94"/>
      <c r="C911" s="94"/>
    </row>
    <row r="912">
      <c r="A912" s="94"/>
      <c r="B912" s="94"/>
      <c r="C912" s="94"/>
    </row>
    <row r="913">
      <c r="A913" s="94"/>
      <c r="B913" s="94"/>
      <c r="C913" s="94"/>
    </row>
    <row r="914">
      <c r="A914" s="94"/>
      <c r="B914" s="94"/>
      <c r="C914" s="94"/>
    </row>
    <row r="915">
      <c r="A915" s="94"/>
      <c r="B915" s="94"/>
      <c r="C915" s="94"/>
    </row>
    <row r="916">
      <c r="A916" s="94"/>
      <c r="B916" s="94"/>
      <c r="C916" s="94"/>
    </row>
    <row r="917">
      <c r="A917" s="94"/>
      <c r="B917" s="94"/>
      <c r="C917" s="94"/>
    </row>
    <row r="918">
      <c r="A918" s="94"/>
      <c r="B918" s="94"/>
      <c r="C918" s="94"/>
    </row>
    <row r="919">
      <c r="A919" s="94"/>
      <c r="B919" s="94"/>
      <c r="C919" s="94"/>
    </row>
    <row r="920">
      <c r="A920" s="94"/>
      <c r="B920" s="94"/>
      <c r="C920" s="94"/>
    </row>
    <row r="921">
      <c r="A921" s="94"/>
      <c r="B921" s="94"/>
      <c r="C921" s="94"/>
    </row>
    <row r="922">
      <c r="A922" s="94"/>
      <c r="B922" s="94"/>
      <c r="C922" s="94"/>
    </row>
    <row r="923">
      <c r="A923" s="94"/>
      <c r="B923" s="94"/>
      <c r="C923" s="94"/>
    </row>
    <row r="924">
      <c r="A924" s="94"/>
      <c r="B924" s="94"/>
      <c r="C924" s="94"/>
    </row>
    <row r="925">
      <c r="A925" s="94"/>
      <c r="B925" s="94"/>
      <c r="C925" s="94"/>
    </row>
    <row r="926">
      <c r="A926" s="94"/>
      <c r="B926" s="94"/>
      <c r="C926" s="94"/>
    </row>
    <row r="927">
      <c r="A927" s="94"/>
      <c r="B927" s="94"/>
      <c r="C927" s="94"/>
    </row>
    <row r="928">
      <c r="A928" s="94"/>
      <c r="B928" s="94"/>
      <c r="C928" s="94"/>
    </row>
    <row r="929">
      <c r="A929" s="94"/>
      <c r="B929" s="94"/>
      <c r="C929" s="94"/>
    </row>
    <row r="930">
      <c r="A930" s="94"/>
      <c r="B930" s="94"/>
      <c r="C930" s="94"/>
    </row>
    <row r="931">
      <c r="A931" s="94"/>
      <c r="B931" s="94"/>
      <c r="C931" s="94"/>
    </row>
    <row r="932">
      <c r="A932" s="94"/>
      <c r="B932" s="94"/>
      <c r="C932" s="94"/>
    </row>
    <row r="933">
      <c r="A933" s="94"/>
      <c r="B933" s="94"/>
      <c r="C933" s="94"/>
    </row>
    <row r="934">
      <c r="A934" s="94"/>
      <c r="B934" s="94"/>
      <c r="C934" s="94"/>
    </row>
    <row r="935">
      <c r="A935" s="94"/>
      <c r="B935" s="94"/>
      <c r="C935" s="94"/>
    </row>
    <row r="936">
      <c r="A936" s="94"/>
      <c r="B936" s="94"/>
      <c r="C936" s="94"/>
    </row>
    <row r="937">
      <c r="A937" s="94"/>
      <c r="B937" s="94"/>
      <c r="C937" s="94"/>
    </row>
    <row r="938">
      <c r="A938" s="94"/>
      <c r="B938" s="94"/>
      <c r="C938" s="94"/>
    </row>
    <row r="939">
      <c r="A939" s="94"/>
      <c r="B939" s="94"/>
      <c r="C939" s="94"/>
    </row>
    <row r="940">
      <c r="A940" s="94"/>
      <c r="B940" s="94"/>
      <c r="C940" s="94"/>
    </row>
    <row r="941">
      <c r="A941" s="94"/>
      <c r="B941" s="94"/>
      <c r="C941" s="94"/>
    </row>
    <row r="942">
      <c r="A942" s="94"/>
      <c r="B942" s="94"/>
      <c r="C942" s="94"/>
    </row>
    <row r="943">
      <c r="A943" s="94"/>
      <c r="B943" s="94"/>
      <c r="C943" s="94"/>
    </row>
    <row r="944">
      <c r="A944" s="94"/>
      <c r="B944" s="94"/>
      <c r="C944" s="94"/>
    </row>
    <row r="945">
      <c r="A945" s="94"/>
      <c r="B945" s="94"/>
      <c r="C945" s="94"/>
    </row>
    <row r="946">
      <c r="A946" s="94"/>
      <c r="B946" s="94"/>
      <c r="C946" s="94"/>
    </row>
    <row r="947">
      <c r="A947" s="94"/>
      <c r="B947" s="94"/>
      <c r="C947" s="94"/>
    </row>
    <row r="948">
      <c r="A948" s="94"/>
      <c r="B948" s="94"/>
      <c r="C948" s="94"/>
    </row>
    <row r="949">
      <c r="A949" s="94"/>
      <c r="B949" s="94"/>
      <c r="C949" s="94"/>
    </row>
    <row r="950">
      <c r="A950" s="94"/>
      <c r="B950" s="94"/>
      <c r="C950" s="94"/>
    </row>
    <row r="951">
      <c r="A951" s="94"/>
      <c r="B951" s="94"/>
      <c r="C951" s="94"/>
    </row>
    <row r="952">
      <c r="A952" s="94"/>
      <c r="B952" s="94"/>
      <c r="C952" s="94"/>
    </row>
    <row r="953">
      <c r="A953" s="94"/>
      <c r="B953" s="94"/>
      <c r="C953" s="94"/>
    </row>
    <row r="954">
      <c r="A954" s="94"/>
      <c r="B954" s="94"/>
      <c r="C954" s="94"/>
    </row>
    <row r="955">
      <c r="A955" s="94"/>
      <c r="B955" s="94"/>
      <c r="C955" s="94"/>
    </row>
    <row r="956">
      <c r="A956" s="94"/>
      <c r="B956" s="94"/>
      <c r="C956" s="94"/>
    </row>
    <row r="957">
      <c r="A957" s="94"/>
      <c r="B957" s="94"/>
      <c r="C957" s="94"/>
    </row>
    <row r="958">
      <c r="A958" s="94"/>
      <c r="B958" s="94"/>
      <c r="C958" s="94"/>
    </row>
    <row r="959">
      <c r="A959" s="94"/>
      <c r="B959" s="94"/>
      <c r="C959" s="94"/>
    </row>
    <row r="960">
      <c r="A960" s="94"/>
      <c r="B960" s="94"/>
      <c r="C960" s="94"/>
    </row>
    <row r="961">
      <c r="A961" s="94"/>
      <c r="B961" s="94"/>
      <c r="C961" s="94"/>
    </row>
    <row r="962">
      <c r="A962" s="94"/>
      <c r="B962" s="94"/>
      <c r="C962" s="94"/>
    </row>
    <row r="963">
      <c r="A963" s="94"/>
      <c r="B963" s="94"/>
      <c r="C963" s="94"/>
    </row>
    <row r="964">
      <c r="A964" s="94"/>
      <c r="B964" s="94"/>
      <c r="C964" s="94"/>
    </row>
    <row r="965">
      <c r="A965" s="94"/>
      <c r="B965" s="94"/>
      <c r="C965" s="94"/>
    </row>
    <row r="966">
      <c r="A966" s="94"/>
      <c r="B966" s="94"/>
      <c r="C966" s="94"/>
    </row>
    <row r="967">
      <c r="A967" s="94"/>
      <c r="B967" s="94"/>
      <c r="C967" s="94"/>
    </row>
    <row r="968">
      <c r="A968" s="94"/>
      <c r="B968" s="94"/>
      <c r="C968" s="94"/>
    </row>
    <row r="969">
      <c r="A969" s="94"/>
      <c r="B969" s="94"/>
      <c r="C969" s="94"/>
    </row>
    <row r="970">
      <c r="A970" s="94"/>
      <c r="B970" s="94"/>
      <c r="C970" s="94"/>
    </row>
    <row r="971">
      <c r="A971" s="94"/>
      <c r="B971" s="94"/>
      <c r="C971" s="94"/>
    </row>
    <row r="972">
      <c r="A972" s="94"/>
      <c r="B972" s="94"/>
      <c r="C972" s="94"/>
    </row>
    <row r="973">
      <c r="A973" s="94"/>
      <c r="B973" s="94"/>
      <c r="C973" s="94"/>
    </row>
    <row r="974">
      <c r="A974" s="94"/>
      <c r="B974" s="94"/>
      <c r="C974" s="94"/>
    </row>
    <row r="975">
      <c r="A975" s="94"/>
      <c r="B975" s="94"/>
      <c r="C975" s="94"/>
    </row>
    <row r="976">
      <c r="A976" s="94"/>
      <c r="B976" s="94"/>
      <c r="C976" s="94"/>
    </row>
    <row r="977">
      <c r="A977" s="94"/>
      <c r="B977" s="94"/>
      <c r="C977" s="94"/>
    </row>
    <row r="978">
      <c r="A978" s="94"/>
      <c r="B978" s="94"/>
      <c r="C978" s="94"/>
    </row>
    <row r="979">
      <c r="A979" s="94"/>
      <c r="B979" s="94"/>
      <c r="C979" s="94"/>
    </row>
    <row r="980">
      <c r="A980" s="94"/>
      <c r="B980" s="94"/>
      <c r="C980" s="94"/>
    </row>
    <row r="981">
      <c r="A981" s="94"/>
      <c r="B981" s="94"/>
      <c r="C981" s="94"/>
    </row>
    <row r="982">
      <c r="A982" s="94"/>
      <c r="B982" s="94"/>
      <c r="C982" s="94"/>
    </row>
    <row r="983">
      <c r="A983" s="94"/>
      <c r="B983" s="94"/>
      <c r="C983" s="94"/>
    </row>
    <row r="984">
      <c r="A984" s="94"/>
      <c r="B984" s="94"/>
      <c r="C984" s="94"/>
    </row>
    <row r="985">
      <c r="A985" s="94"/>
      <c r="B985" s="94"/>
      <c r="C985" s="94"/>
    </row>
    <row r="986">
      <c r="A986" s="94"/>
      <c r="B986" s="94"/>
      <c r="C986" s="94"/>
    </row>
    <row r="987">
      <c r="A987" s="94"/>
      <c r="B987" s="94"/>
      <c r="C987" s="94"/>
    </row>
    <row r="988">
      <c r="A988" s="94"/>
      <c r="B988" s="94"/>
      <c r="C988" s="94"/>
    </row>
    <row r="989">
      <c r="A989" s="94"/>
      <c r="B989" s="94"/>
      <c r="C989" s="94"/>
    </row>
    <row r="990">
      <c r="A990" s="94"/>
      <c r="B990" s="94"/>
      <c r="C990" s="94"/>
    </row>
    <row r="991">
      <c r="A991" s="94"/>
      <c r="B991" s="94"/>
      <c r="C991" s="94"/>
    </row>
    <row r="992">
      <c r="A992" s="94"/>
      <c r="B992" s="94"/>
      <c r="C992" s="94"/>
    </row>
    <row r="993">
      <c r="A993" s="94"/>
      <c r="B993" s="94"/>
      <c r="C993" s="94"/>
    </row>
    <row r="994">
      <c r="A994" s="94"/>
      <c r="B994" s="94"/>
      <c r="C994" s="94"/>
    </row>
    <row r="995">
      <c r="A995" s="94"/>
      <c r="B995" s="94"/>
      <c r="C995" s="94"/>
    </row>
    <row r="996">
      <c r="A996" s="94"/>
      <c r="B996" s="94"/>
      <c r="C996" s="94"/>
    </row>
    <row r="997">
      <c r="A997" s="94"/>
      <c r="B997" s="94"/>
      <c r="C997" s="94"/>
    </row>
    <row r="998">
      <c r="A998" s="94"/>
      <c r="B998" s="94"/>
      <c r="C998" s="94"/>
    </row>
    <row r="999">
      <c r="A999" s="94"/>
      <c r="B999" s="94"/>
      <c r="C999" s="94"/>
    </row>
    <row r="1000">
      <c r="A1000" s="94"/>
      <c r="B1000" s="94"/>
      <c r="C1000" s="9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5"/>
    <col customWidth="1" min="3" max="3" width="16.75"/>
  </cols>
  <sheetData>
    <row r="1">
      <c r="A1" s="97" t="s">
        <v>928</v>
      </c>
      <c r="B1" s="96" t="s">
        <v>929</v>
      </c>
      <c r="C1" s="96" t="s">
        <v>930</v>
      </c>
    </row>
    <row r="2">
      <c r="A2" s="99" t="s">
        <v>931</v>
      </c>
      <c r="B2" s="16">
        <v>5393073.0</v>
      </c>
      <c r="C2" s="16">
        <v>2500700.0</v>
      </c>
    </row>
    <row r="3">
      <c r="A3" s="99" t="s">
        <v>932</v>
      </c>
      <c r="B3" s="176">
        <v>9450112.0</v>
      </c>
      <c r="C3" s="9"/>
    </row>
    <row r="4">
      <c r="A4" s="99" t="s">
        <v>933</v>
      </c>
      <c r="B4" s="9"/>
      <c r="C4" s="9"/>
    </row>
    <row r="5">
      <c r="A5" s="99" t="s">
        <v>934</v>
      </c>
      <c r="B5" s="9"/>
      <c r="C5" s="9"/>
    </row>
    <row r="6">
      <c r="B6" s="9"/>
      <c r="C6" s="9"/>
    </row>
    <row r="7">
      <c r="B7" s="9"/>
      <c r="C7" s="9"/>
    </row>
    <row r="8">
      <c r="B8" s="9"/>
      <c r="C8" s="9"/>
    </row>
    <row r="9">
      <c r="B9" s="9"/>
      <c r="C9" s="9"/>
    </row>
    <row r="10">
      <c r="B10" s="9"/>
      <c r="C10" s="9"/>
    </row>
    <row r="11">
      <c r="B11" s="9"/>
      <c r="C11" s="9"/>
    </row>
    <row r="12">
      <c r="B12" s="9"/>
      <c r="C12" s="9"/>
    </row>
    <row r="13">
      <c r="B13" s="9"/>
      <c r="C13" s="9"/>
    </row>
    <row r="14">
      <c r="B14" s="9"/>
      <c r="C14" s="9"/>
    </row>
    <row r="15">
      <c r="B15" s="9"/>
      <c r="C15" s="9"/>
    </row>
    <row r="16">
      <c r="B16" s="9"/>
      <c r="C16" s="9"/>
    </row>
    <row r="17">
      <c r="B17" s="9"/>
      <c r="C17" s="9"/>
    </row>
    <row r="18">
      <c r="B18" s="9"/>
      <c r="C18" s="9"/>
    </row>
    <row r="19">
      <c r="B19" s="9"/>
      <c r="C19" s="9"/>
    </row>
    <row r="20">
      <c r="B20" s="9"/>
      <c r="C20" s="9"/>
    </row>
    <row r="21">
      <c r="B21" s="9"/>
      <c r="C21" s="9"/>
    </row>
    <row r="22">
      <c r="B22" s="9"/>
      <c r="C22" s="9"/>
    </row>
    <row r="23">
      <c r="B23" s="9"/>
      <c r="C23" s="9"/>
    </row>
    <row r="24">
      <c r="B24" s="9"/>
      <c r="C24" s="9"/>
    </row>
    <row r="25">
      <c r="B25" s="9"/>
      <c r="C25" s="9"/>
    </row>
    <row r="26">
      <c r="B26" s="9"/>
      <c r="C26" s="9"/>
    </row>
    <row r="27">
      <c r="B27" s="9"/>
      <c r="C27" s="9"/>
    </row>
    <row r="28">
      <c r="B28" s="9"/>
      <c r="C28" s="9"/>
    </row>
    <row r="29">
      <c r="B29" s="9"/>
      <c r="C29" s="9"/>
    </row>
    <row r="30">
      <c r="B30" s="9"/>
      <c r="C30" s="9"/>
    </row>
    <row r="31">
      <c r="B31" s="9"/>
      <c r="C31" s="9"/>
    </row>
    <row r="32">
      <c r="B32" s="9"/>
      <c r="C32" s="9"/>
    </row>
    <row r="33">
      <c r="B33" s="9"/>
      <c r="C33" s="9"/>
    </row>
    <row r="34">
      <c r="B34" s="9"/>
      <c r="C34" s="9"/>
    </row>
    <row r="35">
      <c r="B35" s="9"/>
      <c r="C35" s="9"/>
    </row>
    <row r="36">
      <c r="B36" s="9"/>
      <c r="C36" s="9"/>
    </row>
    <row r="37">
      <c r="B37" s="9"/>
      <c r="C37" s="9"/>
    </row>
    <row r="38">
      <c r="B38" s="9"/>
      <c r="C38" s="9"/>
    </row>
    <row r="39">
      <c r="B39" s="9"/>
      <c r="C39" s="9"/>
    </row>
    <row r="40">
      <c r="B40" s="9"/>
      <c r="C40" s="9"/>
    </row>
    <row r="41">
      <c r="B41" s="9"/>
      <c r="C41" s="9"/>
    </row>
    <row r="42">
      <c r="B42" s="9"/>
      <c r="C42" s="9"/>
    </row>
    <row r="43">
      <c r="B43" s="9"/>
      <c r="C43" s="9"/>
    </row>
    <row r="44">
      <c r="B44" s="9"/>
      <c r="C44" s="9"/>
    </row>
    <row r="45">
      <c r="B45" s="9"/>
      <c r="C45" s="9"/>
    </row>
    <row r="46">
      <c r="B46" s="9"/>
      <c r="C46" s="9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4.25"/>
  </cols>
  <sheetData>
    <row r="2">
      <c r="A2" s="109">
        <v>1.0</v>
      </c>
      <c r="B2" s="109" t="s">
        <v>903</v>
      </c>
      <c r="C2" s="109">
        <v>7.7631342E8</v>
      </c>
      <c r="D2" s="109" t="s">
        <v>45</v>
      </c>
      <c r="E2" s="109">
        <v>200000.0</v>
      </c>
      <c r="F2" s="110">
        <v>260000.0</v>
      </c>
      <c r="G2" s="211">
        <v>8700.0</v>
      </c>
      <c r="H2" s="116">
        <v>45860.0</v>
      </c>
      <c r="I2" s="116">
        <v>45891.0</v>
      </c>
      <c r="J2" s="147"/>
      <c r="K2" s="147"/>
      <c r="L2" s="147"/>
      <c r="M2" s="14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109">
        <v>2.0</v>
      </c>
      <c r="B3" s="123" t="s">
        <v>159</v>
      </c>
      <c r="C3" s="123">
        <v>7.85819584E8</v>
      </c>
      <c r="D3" s="121" t="s">
        <v>45</v>
      </c>
      <c r="E3" s="109">
        <v>500000.0</v>
      </c>
      <c r="F3" s="110">
        <v>845000.0</v>
      </c>
      <c r="G3" s="109">
        <v>13000.0</v>
      </c>
      <c r="H3" s="212" t="s">
        <v>904</v>
      </c>
      <c r="I3" s="212" t="s">
        <v>905</v>
      </c>
      <c r="J3" s="147"/>
      <c r="K3" s="147"/>
      <c r="L3" s="147"/>
      <c r="M3" s="14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182">
        <v>3.0</v>
      </c>
      <c r="B4" s="182" t="s">
        <v>161</v>
      </c>
      <c r="C4" s="119">
        <v>7.45683778E8</v>
      </c>
      <c r="D4" s="109" t="s">
        <v>906</v>
      </c>
      <c r="E4" s="110">
        <v>300000.0</v>
      </c>
      <c r="F4" s="110">
        <v>390000.0</v>
      </c>
      <c r="G4" s="109">
        <v>13000.0</v>
      </c>
      <c r="H4" s="213">
        <v>45850.0</v>
      </c>
      <c r="I4" s="124">
        <v>45881.0</v>
      </c>
      <c r="J4" s="147"/>
      <c r="K4" s="147"/>
      <c r="L4" s="157" t="s">
        <v>907</v>
      </c>
      <c r="M4" s="147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>
      <c r="A5" s="109">
        <v>4.0</v>
      </c>
      <c r="B5" s="109" t="s">
        <v>880</v>
      </c>
      <c r="C5" s="109">
        <v>7.77829094E8</v>
      </c>
      <c r="D5" s="109" t="s">
        <v>693</v>
      </c>
      <c r="E5" s="110">
        <v>947000.0</v>
      </c>
      <c r="F5" s="110">
        <v>1251100.0</v>
      </c>
      <c r="G5" s="117">
        <v>26700.0</v>
      </c>
      <c r="H5" s="112">
        <v>45780.0</v>
      </c>
      <c r="I5" s="111">
        <v>45811.0</v>
      </c>
      <c r="J5" s="147"/>
      <c r="K5" s="147"/>
      <c r="L5" s="147"/>
      <c r="M5" s="147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>
      <c r="A6" s="17">
        <v>5.0</v>
      </c>
      <c r="B6" s="17" t="s">
        <v>908</v>
      </c>
      <c r="C6" s="214">
        <v>7.42766135E8</v>
      </c>
      <c r="D6" s="17" t="s">
        <v>909</v>
      </c>
      <c r="E6" s="215">
        <v>200000.0</v>
      </c>
      <c r="F6" s="131">
        <v>260000.0</v>
      </c>
      <c r="G6" s="117">
        <v>8700.0</v>
      </c>
      <c r="H6" s="111">
        <v>45821.0</v>
      </c>
      <c r="I6" s="112">
        <v>45851.0</v>
      </c>
      <c r="J6" s="157"/>
      <c r="K6" s="147"/>
      <c r="L6" s="157" t="s">
        <v>907</v>
      </c>
      <c r="M6" s="14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>
      <c r="A7" s="93">
        <v>6.0</v>
      </c>
      <c r="B7" s="93" t="s">
        <v>213</v>
      </c>
      <c r="C7" s="93">
        <v>7.857111E8</v>
      </c>
      <c r="D7" s="93" t="s">
        <v>26</v>
      </c>
      <c r="E7" s="93">
        <v>800000.0</v>
      </c>
      <c r="F7" s="122">
        <v>1521000.0</v>
      </c>
      <c r="G7" s="117">
        <v>25400.0</v>
      </c>
      <c r="H7" s="116">
        <v>45849.0</v>
      </c>
      <c r="I7" s="117" t="s">
        <v>738</v>
      </c>
      <c r="J7" s="147"/>
      <c r="K7" s="147"/>
      <c r="L7" s="147"/>
      <c r="M7" s="147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>
      <c r="A8" s="109">
        <v>7.0</v>
      </c>
      <c r="B8" s="109" t="s">
        <v>935</v>
      </c>
      <c r="C8" s="109">
        <v>7.80131339E8</v>
      </c>
      <c r="D8" s="109" t="s">
        <v>713</v>
      </c>
      <c r="E8" s="110">
        <v>150000.0</v>
      </c>
      <c r="F8" s="110" t="s">
        <v>936</v>
      </c>
      <c r="G8" s="117">
        <v>6500.0</v>
      </c>
      <c r="H8" s="116">
        <v>45811.0</v>
      </c>
      <c r="I8" s="112">
        <v>45866.0</v>
      </c>
      <c r="J8" s="147"/>
      <c r="K8" s="147"/>
      <c r="L8" s="147"/>
      <c r="M8" s="147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>
      <c r="A9" s="109">
        <v>9.0</v>
      </c>
      <c r="B9" s="109" t="s">
        <v>253</v>
      </c>
      <c r="C9" s="109">
        <v>7.41785784E8</v>
      </c>
      <c r="D9" s="109" t="s">
        <v>26</v>
      </c>
      <c r="E9" s="110">
        <v>675000.0</v>
      </c>
      <c r="F9" s="110">
        <v>1557975.0</v>
      </c>
      <c r="G9" s="118">
        <v>19000.0</v>
      </c>
      <c r="H9" s="116">
        <v>45859.0</v>
      </c>
      <c r="I9" s="116">
        <v>45860.0</v>
      </c>
      <c r="J9" s="147"/>
      <c r="K9" s="147"/>
      <c r="L9" s="147"/>
      <c r="M9" s="147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A10" s="182">
        <v>10.0</v>
      </c>
      <c r="B10" s="121" t="s">
        <v>255</v>
      </c>
      <c r="C10" s="119">
        <v>7.67639022E8</v>
      </c>
      <c r="D10" s="121" t="s">
        <v>257</v>
      </c>
      <c r="E10" s="122">
        <v>912000.0</v>
      </c>
      <c r="F10" s="110">
        <v>1889365.0</v>
      </c>
      <c r="G10" s="109">
        <v>22300.0</v>
      </c>
      <c r="H10" s="124">
        <v>45848.0</v>
      </c>
      <c r="I10" s="124">
        <v>45940.0</v>
      </c>
      <c r="J10" s="147"/>
      <c r="K10" s="147"/>
      <c r="L10" s="147"/>
      <c r="M10" s="147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109">
        <v>11.0</v>
      </c>
      <c r="B11" s="109" t="s">
        <v>910</v>
      </c>
      <c r="C11" s="109">
        <v>7.66128742E8</v>
      </c>
      <c r="D11" s="109" t="s">
        <v>26</v>
      </c>
      <c r="E11" s="109">
        <v>1200000.0</v>
      </c>
      <c r="F11" s="110">
        <v>1560000.0</v>
      </c>
      <c r="G11" s="118">
        <v>19000.0</v>
      </c>
      <c r="H11" s="116">
        <v>45856.0</v>
      </c>
      <c r="I11" s="116">
        <v>45861.0</v>
      </c>
      <c r="J11" s="147"/>
      <c r="K11" s="147"/>
      <c r="L11" s="147"/>
      <c r="M11" s="147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182">
        <v>12.0</v>
      </c>
      <c r="B12" s="121" t="s">
        <v>269</v>
      </c>
      <c r="C12" s="119">
        <v>7.55664324E8</v>
      </c>
      <c r="D12" s="121" t="s">
        <v>26</v>
      </c>
      <c r="E12" s="122">
        <v>352000.0</v>
      </c>
      <c r="F12" s="110">
        <v>594900.0</v>
      </c>
      <c r="G12" s="109">
        <v>9900.0</v>
      </c>
      <c r="H12" s="116">
        <v>45855.0</v>
      </c>
      <c r="I12" s="116">
        <v>45917.0</v>
      </c>
      <c r="J12" s="147"/>
      <c r="K12" s="147"/>
      <c r="L12" s="147"/>
      <c r="M12" s="147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93">
        <v>13.0</v>
      </c>
      <c r="B13" s="93" t="s">
        <v>274</v>
      </c>
      <c r="C13" s="93">
        <v>7.08250755E8</v>
      </c>
      <c r="D13" s="93" t="s">
        <v>26</v>
      </c>
      <c r="E13" s="93">
        <v>639000.0</v>
      </c>
      <c r="F13" s="186">
        <v>830700.0</v>
      </c>
      <c r="G13" s="117">
        <v>27700.0</v>
      </c>
      <c r="H13" s="116">
        <v>45849.0</v>
      </c>
      <c r="I13" s="116">
        <v>45880.0</v>
      </c>
      <c r="J13" s="147"/>
      <c r="K13" s="147"/>
      <c r="L13" s="157" t="s">
        <v>907</v>
      </c>
      <c r="M13" s="147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109" t="s">
        <v>937</v>
      </c>
      <c r="B14" s="109" t="s">
        <v>883</v>
      </c>
      <c r="C14" s="109">
        <v>7.88081442E8</v>
      </c>
      <c r="D14" s="109" t="s">
        <v>884</v>
      </c>
      <c r="E14" s="110">
        <v>747000.0</v>
      </c>
      <c r="F14" s="110">
        <v>1223914.0</v>
      </c>
      <c r="G14" s="109">
        <v>19700.0</v>
      </c>
      <c r="H14" s="124">
        <v>45842.0</v>
      </c>
      <c r="I14" s="124">
        <v>45904.0</v>
      </c>
      <c r="J14" s="163"/>
      <c r="K14" s="163"/>
      <c r="L14" s="163"/>
      <c r="M14" s="163"/>
    </row>
    <row r="15">
      <c r="A15" s="109">
        <v>17.0</v>
      </c>
      <c r="B15" s="109" t="s">
        <v>889</v>
      </c>
      <c r="C15" s="109">
        <v>7.48320604E8</v>
      </c>
      <c r="D15" s="109" t="s">
        <v>912</v>
      </c>
      <c r="E15" s="110">
        <v>200000.0</v>
      </c>
      <c r="F15" s="110">
        <v>338000.0</v>
      </c>
      <c r="G15" s="117">
        <v>5700.0</v>
      </c>
      <c r="H15" s="111">
        <v>45819.0</v>
      </c>
      <c r="I15" s="112">
        <v>45849.0</v>
      </c>
      <c r="J15" s="147"/>
      <c r="K15" s="147"/>
      <c r="L15" s="147"/>
      <c r="M15" s="147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109">
        <v>18.0</v>
      </c>
      <c r="B16" s="109" t="s">
        <v>890</v>
      </c>
      <c r="C16" s="109">
        <v>7.03073714E8</v>
      </c>
      <c r="D16" s="109" t="s">
        <v>693</v>
      </c>
      <c r="E16" s="110">
        <v>300000.0</v>
      </c>
      <c r="F16" s="110">
        <v>390000.0</v>
      </c>
      <c r="G16" s="117">
        <v>13000.0</v>
      </c>
      <c r="H16" s="111">
        <v>45827.0</v>
      </c>
      <c r="I16" s="112">
        <v>45888.0</v>
      </c>
      <c r="J16" s="147"/>
      <c r="K16" s="147"/>
      <c r="L16" s="147"/>
      <c r="M16" s="147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182">
        <v>19.0</v>
      </c>
      <c r="B17" s="121" t="s">
        <v>397</v>
      </c>
      <c r="C17" s="119">
        <v>7.06020524E8</v>
      </c>
      <c r="D17" s="121" t="s">
        <v>45</v>
      </c>
      <c r="E17" s="109">
        <v>800000.0</v>
      </c>
      <c r="F17" s="110">
        <v>1040000.0</v>
      </c>
      <c r="G17" s="117">
        <v>22600.0</v>
      </c>
      <c r="H17" s="116">
        <v>45846.0</v>
      </c>
      <c r="I17" s="120">
        <v>45908.0</v>
      </c>
      <c r="J17" s="147"/>
      <c r="K17" s="147"/>
      <c r="L17" s="147"/>
      <c r="M17" s="147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182">
        <v>20.0</v>
      </c>
      <c r="B18" s="121" t="s">
        <v>402</v>
      </c>
      <c r="C18" s="130">
        <v>7.46692404E8</v>
      </c>
      <c r="D18" s="121" t="s">
        <v>26</v>
      </c>
      <c r="E18" s="122">
        <v>1017000.0</v>
      </c>
      <c r="F18" s="110">
        <v>1217439.0</v>
      </c>
      <c r="G18" s="118">
        <v>24800.0</v>
      </c>
      <c r="H18" s="116">
        <v>45855.0</v>
      </c>
      <c r="I18" s="116">
        <v>45917.0</v>
      </c>
      <c r="J18" s="147"/>
      <c r="K18" s="147"/>
      <c r="L18" s="147"/>
      <c r="M18" s="147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109">
        <v>21.0</v>
      </c>
      <c r="B19" s="109" t="s">
        <v>891</v>
      </c>
      <c r="C19" s="109">
        <v>7.08384002E8</v>
      </c>
      <c r="D19" s="109" t="s">
        <v>911</v>
      </c>
      <c r="E19" s="110">
        <v>825000.0</v>
      </c>
      <c r="F19" s="110">
        <v>1072500.0</v>
      </c>
      <c r="G19" s="117">
        <v>23300.0</v>
      </c>
      <c r="H19" s="111">
        <v>45842.0</v>
      </c>
      <c r="I19" s="112">
        <v>45934.0</v>
      </c>
      <c r="J19" s="147"/>
      <c r="K19" s="147"/>
      <c r="L19" s="147"/>
      <c r="M19" s="147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109">
        <v>22.0</v>
      </c>
      <c r="B20" s="109" t="s">
        <v>892</v>
      </c>
      <c r="C20" s="109">
        <v>7.52759375E8</v>
      </c>
      <c r="D20" s="109" t="s">
        <v>693</v>
      </c>
      <c r="E20" s="110">
        <v>300000.0</v>
      </c>
      <c r="F20" s="110">
        <v>390000.0</v>
      </c>
      <c r="G20" s="117">
        <v>13000.0</v>
      </c>
      <c r="H20" s="111">
        <v>45835.0</v>
      </c>
      <c r="I20" s="111">
        <v>45836.0</v>
      </c>
      <c r="J20" s="163"/>
      <c r="K20" s="163"/>
      <c r="L20" s="163"/>
      <c r="M20" s="163"/>
    </row>
    <row r="21">
      <c r="A21" s="109">
        <v>23.0</v>
      </c>
      <c r="B21" s="109" t="s">
        <v>256</v>
      </c>
      <c r="C21" s="109">
        <v>7.56015006E8</v>
      </c>
      <c r="D21" s="109" t="s">
        <v>26</v>
      </c>
      <c r="E21" s="110">
        <v>1050600.0</v>
      </c>
      <c r="F21" s="118">
        <v>2308168.2</v>
      </c>
      <c r="G21" s="118">
        <v>25646.313333333335</v>
      </c>
      <c r="H21" s="116">
        <v>45859.0</v>
      </c>
      <c r="I21" s="116">
        <v>45951.0</v>
      </c>
      <c r="J21" s="163"/>
      <c r="K21" s="163"/>
      <c r="L21" s="163"/>
      <c r="M21" s="163"/>
    </row>
    <row r="22">
      <c r="A22" s="109">
        <v>24.0</v>
      </c>
      <c r="B22" s="109" t="s">
        <v>452</v>
      </c>
      <c r="C22" s="109">
        <v>7.89744745E8</v>
      </c>
      <c r="D22" s="123" t="s">
        <v>26</v>
      </c>
      <c r="E22" s="216">
        <v>693000.0</v>
      </c>
      <c r="F22" s="118">
        <v>1171170.0000000002</v>
      </c>
      <c r="G22" s="109">
        <v>19500.0</v>
      </c>
      <c r="H22" s="217">
        <v>45852.0</v>
      </c>
      <c r="I22" s="216" t="s">
        <v>455</v>
      </c>
      <c r="J22" s="147"/>
      <c r="K22" s="147"/>
      <c r="L22" s="147"/>
      <c r="M22" s="147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109">
        <v>26.0</v>
      </c>
      <c r="B23" s="109" t="s">
        <v>893</v>
      </c>
      <c r="C23" s="109">
        <v>7.4613537E8</v>
      </c>
      <c r="D23" s="109" t="s">
        <v>693</v>
      </c>
      <c r="E23" s="110">
        <v>1000000.0</v>
      </c>
      <c r="F23" s="110">
        <v>1293500.0</v>
      </c>
      <c r="G23" s="117">
        <v>28200.0</v>
      </c>
      <c r="H23" s="111">
        <v>45834.0</v>
      </c>
      <c r="I23" s="112">
        <v>45895.0</v>
      </c>
      <c r="J23" s="147"/>
      <c r="K23" s="147"/>
      <c r="L23" s="147"/>
      <c r="M23" s="147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182">
        <v>27.0</v>
      </c>
      <c r="B24" s="121" t="s">
        <v>563</v>
      </c>
      <c r="C24" s="119">
        <v>7.59768473E8</v>
      </c>
      <c r="D24" s="93" t="s">
        <v>123</v>
      </c>
      <c r="E24" s="218">
        <v>200000.0</v>
      </c>
      <c r="F24" s="218">
        <v>260000.0</v>
      </c>
      <c r="G24" s="117">
        <v>4400.0</v>
      </c>
      <c r="H24" s="111">
        <v>45762.0</v>
      </c>
      <c r="I24" s="112">
        <v>45792.0</v>
      </c>
      <c r="J24" s="147"/>
      <c r="K24" s="147"/>
      <c r="L24" s="147"/>
      <c r="M24" s="147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182">
        <v>29.0</v>
      </c>
      <c r="B25" s="182" t="s">
        <v>606</v>
      </c>
      <c r="C25" s="119">
        <v>7.00104134E8</v>
      </c>
      <c r="D25" s="121" t="s">
        <v>45</v>
      </c>
      <c r="E25" s="122">
        <v>200000.0</v>
      </c>
      <c r="F25" s="110">
        <v>260000.0</v>
      </c>
      <c r="G25" s="122">
        <v>8700.0</v>
      </c>
      <c r="H25" s="116">
        <v>45852.0</v>
      </c>
      <c r="I25" s="120">
        <v>45883.0</v>
      </c>
      <c r="J25" s="147"/>
      <c r="K25" s="147"/>
      <c r="L25" s="157" t="s">
        <v>907</v>
      </c>
      <c r="M25" s="147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109">
        <v>30.0</v>
      </c>
      <c r="B26" s="109" t="s">
        <v>894</v>
      </c>
      <c r="C26" s="109">
        <v>7.01888577E8</v>
      </c>
      <c r="D26" s="109" t="s">
        <v>919</v>
      </c>
      <c r="E26" s="110">
        <v>400000.0</v>
      </c>
      <c r="F26" s="110">
        <v>530000.0</v>
      </c>
      <c r="G26" s="117">
        <v>17400.0</v>
      </c>
      <c r="H26" s="219">
        <v>45830.0</v>
      </c>
      <c r="I26" s="219">
        <v>45891.0</v>
      </c>
      <c r="J26" s="157"/>
      <c r="K26" s="147"/>
      <c r="L26" s="157" t="s">
        <v>907</v>
      </c>
      <c r="M26" s="147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182">
        <v>31.0</v>
      </c>
      <c r="B27" s="121" t="s">
        <v>667</v>
      </c>
      <c r="C27" s="119">
        <v>7.52080242E8</v>
      </c>
      <c r="D27" s="109" t="s">
        <v>886</v>
      </c>
      <c r="E27" s="110">
        <v>250000.0</v>
      </c>
      <c r="F27" s="110">
        <v>325000.0</v>
      </c>
      <c r="G27" s="109">
        <v>10800.0</v>
      </c>
      <c r="H27" s="124">
        <v>45842.0</v>
      </c>
      <c r="I27" s="124">
        <v>45873.0</v>
      </c>
      <c r="J27" s="147"/>
      <c r="K27" s="147"/>
      <c r="L27" s="147"/>
      <c r="M27" s="14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109">
        <v>32.0</v>
      </c>
      <c r="B28" s="109" t="s">
        <v>881</v>
      </c>
      <c r="C28" s="109">
        <v>7.0616046E8</v>
      </c>
      <c r="D28" s="109" t="s">
        <v>882</v>
      </c>
      <c r="E28" s="110">
        <v>154000.0</v>
      </c>
      <c r="F28" s="110">
        <v>269839.0</v>
      </c>
      <c r="G28" s="117">
        <v>4300.0</v>
      </c>
      <c r="H28" s="111">
        <v>45841.0</v>
      </c>
      <c r="I28" s="111">
        <v>45902.0</v>
      </c>
      <c r="J28" s="147"/>
      <c r="K28" s="147"/>
      <c r="L28" s="147"/>
      <c r="M28" s="147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109">
        <v>33.0</v>
      </c>
      <c r="B29" s="109" t="s">
        <v>576</v>
      </c>
      <c r="C29" s="109">
        <v>7.08773043E8</v>
      </c>
      <c r="D29" s="109" t="s">
        <v>26</v>
      </c>
      <c r="E29" s="109">
        <v>500000.0</v>
      </c>
      <c r="F29" s="110">
        <v>660000.0</v>
      </c>
      <c r="G29" s="109">
        <v>21700.0</v>
      </c>
      <c r="H29" s="116">
        <v>45860.0</v>
      </c>
      <c r="I29" s="116">
        <v>45891.0</v>
      </c>
      <c r="J29" s="147"/>
      <c r="K29" s="147"/>
      <c r="L29" s="147"/>
      <c r="M29" s="147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109">
        <v>34.0</v>
      </c>
      <c r="B30" s="123" t="s">
        <v>125</v>
      </c>
      <c r="C30" s="123">
        <v>7.68177586E8</v>
      </c>
      <c r="D30" s="109" t="s">
        <v>26</v>
      </c>
      <c r="E30" s="109">
        <v>600000.0</v>
      </c>
      <c r="F30" s="110">
        <v>780000.0</v>
      </c>
      <c r="G30" s="109">
        <v>26000.0</v>
      </c>
      <c r="H30" s="116">
        <v>45863.0</v>
      </c>
      <c r="I30" s="116">
        <v>45894.0</v>
      </c>
      <c r="J30" s="147"/>
      <c r="K30" s="147"/>
      <c r="L30" s="147"/>
      <c r="M30" s="147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109">
        <v>35.0</v>
      </c>
      <c r="B31" s="109" t="s">
        <v>895</v>
      </c>
      <c r="C31" s="109">
        <v>7.57345889E8</v>
      </c>
      <c r="D31" s="109" t="s">
        <v>938</v>
      </c>
      <c r="E31" s="109">
        <v>1000000.0</v>
      </c>
      <c r="F31" s="109">
        <v>1300000.0</v>
      </c>
      <c r="G31" s="109">
        <v>43400.0</v>
      </c>
      <c r="H31" s="116">
        <v>45874.0</v>
      </c>
      <c r="I31" s="116">
        <v>45906.0</v>
      </c>
      <c r="J31" s="144"/>
      <c r="K31" s="144"/>
      <c r="L31" s="144"/>
      <c r="M31" s="144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</row>
    <row r="32">
      <c r="A32" s="220">
        <v>36.0</v>
      </c>
      <c r="B32" s="135" t="s">
        <v>98</v>
      </c>
      <c r="C32" s="183">
        <v>7.81982498E8</v>
      </c>
      <c r="D32" s="135" t="s">
        <v>45</v>
      </c>
      <c r="E32" s="189">
        <v>300000.0</v>
      </c>
      <c r="F32" s="105">
        <v>390000.0</v>
      </c>
      <c r="G32" s="105">
        <v>13000.0</v>
      </c>
      <c r="H32" s="221">
        <v>45875.0</v>
      </c>
      <c r="I32" s="222" t="s">
        <v>939</v>
      </c>
      <c r="J32" s="144"/>
      <c r="K32" s="144"/>
      <c r="L32" s="144"/>
      <c r="M32" s="144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</row>
    <row r="33">
      <c r="A33" s="136">
        <v>37.0</v>
      </c>
      <c r="B33" s="136" t="s">
        <v>896</v>
      </c>
      <c r="C33" s="136">
        <v>7.42247774E8</v>
      </c>
      <c r="D33" s="136" t="s">
        <v>71</v>
      </c>
      <c r="E33" s="136">
        <v>400000.0</v>
      </c>
      <c r="F33" s="136">
        <v>678000.0</v>
      </c>
      <c r="G33" s="136">
        <v>11600.0</v>
      </c>
      <c r="H33" s="223">
        <v>45877.0</v>
      </c>
      <c r="I33" s="223">
        <v>45938.0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>
      <c r="A34" s="136">
        <v>38.0</v>
      </c>
      <c r="B34" s="136" t="s">
        <v>299</v>
      </c>
      <c r="C34" s="136">
        <v>7.59336805E8</v>
      </c>
      <c r="D34" s="109" t="s">
        <v>911</v>
      </c>
      <c r="E34" s="109">
        <v>300000.0</v>
      </c>
      <c r="F34" s="109">
        <v>400000.0</v>
      </c>
      <c r="G34" s="109">
        <v>13000.0</v>
      </c>
      <c r="H34" s="224">
        <v>45875.0</v>
      </c>
      <c r="I34" s="224">
        <v>45906.0</v>
      </c>
      <c r="J34" s="147"/>
      <c r="K34" s="147"/>
      <c r="L34" s="147"/>
      <c r="M34" s="147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25">
        <v>48.0</v>
      </c>
      <c r="B35" s="137" t="s">
        <v>375</v>
      </c>
      <c r="C35" s="184">
        <v>7.58194649E8</v>
      </c>
      <c r="D35" s="137" t="s">
        <v>8</v>
      </c>
      <c r="E35" s="109">
        <v>200000.0</v>
      </c>
      <c r="F35" s="110">
        <v>338000.0</v>
      </c>
      <c r="G35" s="109">
        <v>5700.0</v>
      </c>
      <c r="H35" s="224">
        <v>45826.0</v>
      </c>
      <c r="I35" s="224">
        <v>45887.0</v>
      </c>
    </row>
    <row r="36">
      <c r="A36" s="225">
        <v>49.0</v>
      </c>
      <c r="B36" s="137" t="s">
        <v>629</v>
      </c>
      <c r="C36" s="187">
        <v>7.64674133E8</v>
      </c>
      <c r="D36" s="137" t="s">
        <v>408</v>
      </c>
      <c r="E36" s="109">
        <v>300000.0</v>
      </c>
      <c r="F36" s="110">
        <v>390000.0</v>
      </c>
      <c r="G36" s="109">
        <v>13000.0</v>
      </c>
      <c r="H36" s="224">
        <v>45815.0</v>
      </c>
      <c r="I36" s="224">
        <v>45845.0</v>
      </c>
    </row>
    <row r="37">
      <c r="A37" s="220">
        <v>50.0</v>
      </c>
      <c r="B37" s="135" t="s">
        <v>213</v>
      </c>
      <c r="C37" s="183">
        <v>7.85995429E8</v>
      </c>
      <c r="D37" s="135" t="s">
        <v>26</v>
      </c>
      <c r="E37" s="189">
        <v>900000.0</v>
      </c>
      <c r="F37" s="118">
        <v>1521000.0000000002</v>
      </c>
      <c r="G37" s="109">
        <v>25400.0</v>
      </c>
      <c r="H37" s="224">
        <v>45850.0</v>
      </c>
      <c r="I37" s="224">
        <v>45912.0</v>
      </c>
    </row>
    <row r="38">
      <c r="A38" s="182">
        <v>51.0</v>
      </c>
      <c r="B38" s="121" t="s">
        <v>410</v>
      </c>
      <c r="C38" s="119">
        <v>7.40270098E8</v>
      </c>
      <c r="D38" s="121" t="s">
        <v>60</v>
      </c>
      <c r="E38" s="122">
        <v>498800.0</v>
      </c>
      <c r="F38" s="110">
        <v>873999.0</v>
      </c>
      <c r="G38" s="109">
        <v>14000.0</v>
      </c>
      <c r="H38" s="224">
        <v>45847.0</v>
      </c>
      <c r="I38" s="224">
        <v>45909.0</v>
      </c>
    </row>
    <row r="39">
      <c r="A39" s="226">
        <v>52.0</v>
      </c>
      <c r="B39" s="139" t="s">
        <v>542</v>
      </c>
      <c r="C39" s="185">
        <v>7.71509951E8</v>
      </c>
      <c r="D39" s="139" t="s">
        <v>71</v>
      </c>
      <c r="E39" s="118">
        <v>500000.0</v>
      </c>
      <c r="F39" s="118">
        <v>865000.0000000001</v>
      </c>
      <c r="G39" s="109">
        <v>14500.0</v>
      </c>
      <c r="H39" s="224">
        <v>45883.0</v>
      </c>
      <c r="I39" s="224">
        <v>45944.0</v>
      </c>
    </row>
    <row r="40">
      <c r="A40" s="226">
        <v>53.0</v>
      </c>
      <c r="B40" s="139" t="s">
        <v>447</v>
      </c>
      <c r="C40" s="185">
        <v>7.89523444E8</v>
      </c>
      <c r="D40" s="139" t="s">
        <v>8</v>
      </c>
      <c r="E40" s="118">
        <v>300000.0</v>
      </c>
      <c r="F40" s="118">
        <v>527000.0</v>
      </c>
      <c r="G40" s="109">
        <v>8800.0</v>
      </c>
      <c r="H40" s="224">
        <v>45883.0</v>
      </c>
      <c r="I40" s="224">
        <v>45944.0</v>
      </c>
    </row>
    <row r="41">
      <c r="A41" s="109">
        <v>54.0</v>
      </c>
      <c r="B41" s="136" t="s">
        <v>688</v>
      </c>
      <c r="C41" s="136">
        <v>7.78893717E8</v>
      </c>
      <c r="D41" s="136" t="s">
        <v>45</v>
      </c>
      <c r="E41" s="109">
        <v>410000.0</v>
      </c>
      <c r="F41" s="110">
        <v>410000.0</v>
      </c>
      <c r="G41" s="109">
        <v>13000.0</v>
      </c>
      <c r="H41" s="224">
        <v>45888.0</v>
      </c>
      <c r="I41" s="224">
        <v>45949.0</v>
      </c>
    </row>
    <row r="42">
      <c r="A42" s="109">
        <v>55.0</v>
      </c>
      <c r="B42" s="109" t="s">
        <v>697</v>
      </c>
      <c r="C42" s="109">
        <v>7.04077942E8</v>
      </c>
      <c r="D42" s="109" t="s">
        <v>693</v>
      </c>
      <c r="E42" s="109">
        <v>2146446.0</v>
      </c>
      <c r="F42" s="122">
        <v>2146446.0</v>
      </c>
      <c r="G42" s="109">
        <v>22192.0</v>
      </c>
      <c r="H42" s="227">
        <v>45889.0</v>
      </c>
      <c r="I42" s="221">
        <v>45981.0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109">
        <v>56.0</v>
      </c>
      <c r="B43" s="109" t="s">
        <v>694</v>
      </c>
      <c r="C43" s="136">
        <v>7.09421704E8</v>
      </c>
      <c r="D43" s="136" t="s">
        <v>696</v>
      </c>
      <c r="E43" s="228">
        <v>500000.0</v>
      </c>
      <c r="F43" s="110">
        <v>865000.0</v>
      </c>
      <c r="G43" s="109">
        <v>14417.0</v>
      </c>
      <c r="H43" s="227">
        <v>45889.0</v>
      </c>
      <c r="I43" s="221">
        <v>45950.0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109">
        <v>57.0</v>
      </c>
      <c r="B44" s="136" t="s">
        <v>691</v>
      </c>
      <c r="C44" s="136">
        <v>7.56219795E8</v>
      </c>
      <c r="D44" s="136" t="s">
        <v>693</v>
      </c>
      <c r="E44" s="228">
        <v>527000.0</v>
      </c>
      <c r="F44" s="110">
        <v>527000.0</v>
      </c>
      <c r="G44" s="109">
        <v>8783.0</v>
      </c>
      <c r="H44" s="227">
        <v>45889.0</v>
      </c>
      <c r="I44" s="221">
        <v>45950.0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93">
        <v>58.0</v>
      </c>
      <c r="B45" s="229" t="s">
        <v>580</v>
      </c>
      <c r="C45" s="230">
        <v>7.50770914E8</v>
      </c>
      <c r="D45" s="229" t="s">
        <v>26</v>
      </c>
      <c r="E45" s="231">
        <v>776000.0</v>
      </c>
      <c r="F45" s="232">
        <v>1311440.0000000002</v>
      </c>
      <c r="G45" s="231">
        <v>21900.0</v>
      </c>
      <c r="H45" s="233">
        <v>45890.0</v>
      </c>
      <c r="I45" s="234">
        <v>45951.0</v>
      </c>
    </row>
    <row r="46">
      <c r="A46" s="220">
        <v>59.0</v>
      </c>
      <c r="B46" s="135" t="s">
        <v>305</v>
      </c>
      <c r="C46" s="183">
        <v>7.00865695E8</v>
      </c>
      <c r="D46" s="135" t="s">
        <v>57</v>
      </c>
      <c r="E46" s="109">
        <v>300000.0</v>
      </c>
      <c r="F46" s="110">
        <v>471000.0</v>
      </c>
      <c r="G46" s="110">
        <v>17300.0</v>
      </c>
      <c r="H46" s="235">
        <v>45797.0</v>
      </c>
      <c r="I46" s="236">
        <v>45950.0</v>
      </c>
      <c r="J46" s="65"/>
      <c r="K46" s="65"/>
      <c r="L46" s="147"/>
      <c r="M46" s="147"/>
      <c r="N46" s="147"/>
      <c r="O46" s="147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182">
        <v>60.0</v>
      </c>
      <c r="B47" s="121" t="s">
        <v>298</v>
      </c>
      <c r="C47" s="119">
        <v>7.05194015E8</v>
      </c>
      <c r="D47" s="93" t="s">
        <v>887</v>
      </c>
      <c r="E47" s="218">
        <v>84000.0</v>
      </c>
      <c r="F47" s="218">
        <v>97400.0</v>
      </c>
      <c r="G47" s="93">
        <v>4500.0</v>
      </c>
      <c r="H47" s="233">
        <v>45892.0</v>
      </c>
      <c r="I47" s="237">
        <v>45953.0</v>
      </c>
      <c r="J47" s="46"/>
      <c r="K47" s="158"/>
      <c r="L47" s="147"/>
      <c r="M47" s="147"/>
      <c r="N47" s="147"/>
      <c r="O47" s="147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>
      <c r="G48" s="238">
        <f>sum(G2:G47)</f>
        <v>753138.3133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239" t="s">
        <v>940</v>
      </c>
      <c r="B1" s="239"/>
      <c r="C1" s="239"/>
      <c r="D1" s="239"/>
      <c r="E1" s="239"/>
      <c r="F1" s="239"/>
      <c r="G1" s="239"/>
      <c r="H1" s="240"/>
      <c r="I1" s="54"/>
      <c r="J1" s="241"/>
      <c r="K1" s="242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</row>
    <row r="2">
      <c r="A2" s="239" t="s">
        <v>941</v>
      </c>
      <c r="B2" s="239">
        <v>7.47281186E8</v>
      </c>
      <c r="C2" s="239" t="s">
        <v>942</v>
      </c>
      <c r="D2" s="239">
        <v>7.47232577E8</v>
      </c>
      <c r="E2" s="239" t="s">
        <v>128</v>
      </c>
      <c r="F2" s="239">
        <v>400000.0</v>
      </c>
      <c r="G2" s="239">
        <v>30.0</v>
      </c>
      <c r="H2" s="240">
        <f t="shared" ref="H2:H86" si="1">F2*((1+0.3)^(G2/30)-1)</f>
        <v>120000</v>
      </c>
      <c r="I2" s="54">
        <f t="shared" ref="I2:I86" si="2">F2*(1+0.3)^(G2/30)</f>
        <v>520000</v>
      </c>
      <c r="J2" s="241"/>
      <c r="K2" s="242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</row>
    <row r="3">
      <c r="A3" s="239" t="s">
        <v>943</v>
      </c>
      <c r="B3" s="239">
        <v>7.59662781E8</v>
      </c>
      <c r="C3" s="239" t="s">
        <v>944</v>
      </c>
      <c r="D3" s="239">
        <v>7.08677528E8</v>
      </c>
      <c r="E3" s="239" t="s">
        <v>26</v>
      </c>
      <c r="F3" s="239">
        <v>400000.0</v>
      </c>
      <c r="G3" s="239">
        <v>30.0</v>
      </c>
      <c r="H3" s="240">
        <f t="shared" si="1"/>
        <v>120000</v>
      </c>
      <c r="I3" s="54">
        <f t="shared" si="2"/>
        <v>520000</v>
      </c>
      <c r="J3" s="240">
        <f t="shared" ref="J3:J86" si="3">I3/G3</f>
        <v>17333.33333</v>
      </c>
      <c r="K3" s="243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</row>
    <row r="4">
      <c r="A4" s="239" t="s">
        <v>945</v>
      </c>
      <c r="B4" s="239">
        <v>7.51651362E8</v>
      </c>
      <c r="C4" s="239" t="s">
        <v>946</v>
      </c>
      <c r="D4" s="239">
        <v>7.7655185E8</v>
      </c>
      <c r="E4" s="239" t="s">
        <v>408</v>
      </c>
      <c r="F4" s="239">
        <v>150000.0</v>
      </c>
      <c r="G4" s="239">
        <v>30.0</v>
      </c>
      <c r="H4" s="240">
        <f t="shared" si="1"/>
        <v>45000</v>
      </c>
      <c r="I4" s="54">
        <f t="shared" si="2"/>
        <v>195000</v>
      </c>
      <c r="J4" s="240">
        <f t="shared" si="3"/>
        <v>6500</v>
      </c>
      <c r="K4" s="243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</row>
    <row r="5">
      <c r="A5" s="239" t="s">
        <v>947</v>
      </c>
      <c r="B5" s="239">
        <v>7.54547498E8</v>
      </c>
      <c r="C5" s="239" t="s">
        <v>948</v>
      </c>
      <c r="D5" s="239">
        <v>7.69204694E8</v>
      </c>
      <c r="E5" s="239" t="s">
        <v>408</v>
      </c>
      <c r="F5" s="239">
        <v>400000.0</v>
      </c>
      <c r="G5" s="239">
        <v>30.0</v>
      </c>
      <c r="H5" s="240">
        <f t="shared" si="1"/>
        <v>120000</v>
      </c>
      <c r="I5" s="54">
        <f t="shared" si="2"/>
        <v>520000</v>
      </c>
      <c r="J5" s="240">
        <f t="shared" si="3"/>
        <v>17333.33333</v>
      </c>
      <c r="K5" s="243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</row>
    <row r="6">
      <c r="A6" s="239" t="s">
        <v>949</v>
      </c>
      <c r="B6" s="239">
        <v>7.75871545E8</v>
      </c>
      <c r="C6" s="239" t="s">
        <v>950</v>
      </c>
      <c r="D6" s="239">
        <v>7.70990607E8</v>
      </c>
      <c r="E6" s="239" t="s">
        <v>951</v>
      </c>
      <c r="F6" s="239">
        <v>400000.0</v>
      </c>
      <c r="G6" s="239">
        <v>30.0</v>
      </c>
      <c r="H6" s="240">
        <f t="shared" si="1"/>
        <v>120000</v>
      </c>
      <c r="I6" s="54">
        <f t="shared" si="2"/>
        <v>520000</v>
      </c>
      <c r="J6" s="240">
        <f t="shared" si="3"/>
        <v>17333.33333</v>
      </c>
      <c r="K6" s="243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</row>
    <row r="7">
      <c r="A7" s="239" t="s">
        <v>952</v>
      </c>
      <c r="B7" s="239">
        <v>7.57313413E8</v>
      </c>
      <c r="C7" s="239" t="s">
        <v>953</v>
      </c>
      <c r="D7" s="239">
        <v>7.55832172E8</v>
      </c>
      <c r="E7" s="239" t="s">
        <v>143</v>
      </c>
      <c r="F7" s="239">
        <v>400000.0</v>
      </c>
      <c r="G7" s="239">
        <v>30.0</v>
      </c>
      <c r="H7" s="240">
        <f t="shared" si="1"/>
        <v>120000</v>
      </c>
      <c r="I7" s="54">
        <f t="shared" si="2"/>
        <v>520000</v>
      </c>
      <c r="J7" s="240">
        <f t="shared" si="3"/>
        <v>17333.33333</v>
      </c>
      <c r="K7" s="243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</row>
    <row r="8">
      <c r="A8" s="239" t="s">
        <v>954</v>
      </c>
      <c r="B8" s="239">
        <v>7.6215128E8</v>
      </c>
      <c r="C8" s="239" t="s">
        <v>955</v>
      </c>
      <c r="D8" s="239">
        <v>7.00112676E8</v>
      </c>
      <c r="E8" s="239" t="s">
        <v>26</v>
      </c>
      <c r="F8" s="239">
        <v>100000.0</v>
      </c>
      <c r="G8" s="239">
        <v>30.0</v>
      </c>
      <c r="H8" s="240">
        <f t="shared" si="1"/>
        <v>30000</v>
      </c>
      <c r="I8" s="54">
        <f t="shared" si="2"/>
        <v>130000</v>
      </c>
      <c r="J8" s="240">
        <f t="shared" si="3"/>
        <v>4333.333333</v>
      </c>
      <c r="K8" s="243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</row>
    <row r="9">
      <c r="A9" s="239" t="s">
        <v>956</v>
      </c>
      <c r="B9" s="239">
        <v>7.57115238E8</v>
      </c>
      <c r="C9" s="239" t="s">
        <v>957</v>
      </c>
      <c r="D9" s="239">
        <v>7.8509854E8</v>
      </c>
      <c r="E9" s="239" t="s">
        <v>26</v>
      </c>
      <c r="F9" s="239">
        <v>400000.0</v>
      </c>
      <c r="G9" s="239">
        <v>30.0</v>
      </c>
      <c r="H9" s="240">
        <f t="shared" si="1"/>
        <v>120000</v>
      </c>
      <c r="I9" s="54">
        <f t="shared" si="2"/>
        <v>520000</v>
      </c>
      <c r="J9" s="240">
        <f t="shared" si="3"/>
        <v>17333.33333</v>
      </c>
      <c r="K9" s="243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</row>
    <row r="10">
      <c r="A10" s="239" t="s">
        <v>958</v>
      </c>
      <c r="B10" s="239">
        <v>7.66843916E8</v>
      </c>
      <c r="C10" s="239" t="s">
        <v>959</v>
      </c>
      <c r="D10" s="239">
        <v>7.06073995E8</v>
      </c>
      <c r="E10" s="239" t="s">
        <v>26</v>
      </c>
      <c r="F10" s="239">
        <v>100000.0</v>
      </c>
      <c r="G10" s="239">
        <v>60.0</v>
      </c>
      <c r="H10" s="240">
        <f t="shared" si="1"/>
        <v>69000</v>
      </c>
      <c r="I10" s="54">
        <f t="shared" si="2"/>
        <v>169000</v>
      </c>
      <c r="J10" s="240">
        <f t="shared" si="3"/>
        <v>2816.666667</v>
      </c>
      <c r="K10" s="243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</row>
    <row r="11">
      <c r="A11" s="239" t="s">
        <v>960</v>
      </c>
      <c r="B11" s="239">
        <v>7.00451354E8</v>
      </c>
      <c r="C11" s="239" t="s">
        <v>961</v>
      </c>
      <c r="D11" s="239">
        <v>7.5981111E8</v>
      </c>
      <c r="E11" s="239" t="s">
        <v>26</v>
      </c>
      <c r="F11" s="239">
        <v>200000.0</v>
      </c>
      <c r="G11" s="239">
        <v>60.0</v>
      </c>
      <c r="H11" s="240">
        <f t="shared" si="1"/>
        <v>138000</v>
      </c>
      <c r="I11" s="54">
        <f t="shared" si="2"/>
        <v>338000</v>
      </c>
      <c r="J11" s="240">
        <f t="shared" si="3"/>
        <v>5633.333333</v>
      </c>
      <c r="K11" s="243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</row>
    <row r="12">
      <c r="A12" s="239" t="s">
        <v>962</v>
      </c>
      <c r="B12" s="239">
        <v>7.87464019E8</v>
      </c>
      <c r="C12" s="239" t="s">
        <v>963</v>
      </c>
      <c r="D12" s="239">
        <v>7.74380522E8</v>
      </c>
      <c r="E12" s="239" t="s">
        <v>964</v>
      </c>
      <c r="F12" s="239">
        <v>400000.0</v>
      </c>
      <c r="G12" s="239">
        <v>30.0</v>
      </c>
      <c r="H12" s="240">
        <f t="shared" si="1"/>
        <v>120000</v>
      </c>
      <c r="I12" s="54">
        <f t="shared" si="2"/>
        <v>520000</v>
      </c>
      <c r="J12" s="240">
        <f t="shared" si="3"/>
        <v>17333.33333</v>
      </c>
      <c r="K12" s="243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</row>
    <row r="13">
      <c r="A13" s="239" t="s">
        <v>965</v>
      </c>
      <c r="B13" s="239">
        <v>7.59155021E8</v>
      </c>
      <c r="C13" s="239" t="s">
        <v>966</v>
      </c>
      <c r="D13" s="239">
        <v>7.59255453E8</v>
      </c>
      <c r="E13" s="239" t="s">
        <v>71</v>
      </c>
      <c r="F13" s="239">
        <v>100000.0</v>
      </c>
      <c r="G13" s="239">
        <v>90.0</v>
      </c>
      <c r="H13" s="240">
        <f t="shared" si="1"/>
        <v>119700</v>
      </c>
      <c r="I13" s="54">
        <f t="shared" si="2"/>
        <v>219700</v>
      </c>
      <c r="J13" s="240">
        <f t="shared" si="3"/>
        <v>2441.111111</v>
      </c>
      <c r="K13" s="243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</row>
    <row r="14">
      <c r="A14" s="239" t="s">
        <v>967</v>
      </c>
      <c r="B14" s="239">
        <v>7.75284604E8</v>
      </c>
      <c r="C14" s="239" t="s">
        <v>968</v>
      </c>
      <c r="D14" s="239">
        <v>7.45013051E8</v>
      </c>
      <c r="E14" s="239" t="s">
        <v>969</v>
      </c>
      <c r="F14" s="239">
        <v>200000.0</v>
      </c>
      <c r="G14" s="239">
        <v>30.0</v>
      </c>
      <c r="H14" s="240">
        <f t="shared" si="1"/>
        <v>60000</v>
      </c>
      <c r="I14" s="54">
        <f t="shared" si="2"/>
        <v>260000</v>
      </c>
      <c r="J14" s="240">
        <f t="shared" si="3"/>
        <v>8666.666667</v>
      </c>
      <c r="K14" s="243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</row>
    <row r="15">
      <c r="A15" s="239" t="s">
        <v>970</v>
      </c>
      <c r="B15" s="239">
        <v>7.79547755E8</v>
      </c>
      <c r="C15" s="239" t="s">
        <v>971</v>
      </c>
      <c r="D15" s="239">
        <v>7.58828096E8</v>
      </c>
      <c r="E15" s="239" t="s">
        <v>969</v>
      </c>
      <c r="F15" s="239">
        <v>400000.0</v>
      </c>
      <c r="G15" s="239">
        <v>30.0</v>
      </c>
      <c r="H15" s="240">
        <f t="shared" si="1"/>
        <v>120000</v>
      </c>
      <c r="I15" s="54">
        <f t="shared" si="2"/>
        <v>520000</v>
      </c>
      <c r="J15" s="240">
        <f t="shared" si="3"/>
        <v>17333.33333</v>
      </c>
      <c r="K15" s="243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</row>
    <row r="16">
      <c r="A16" s="239" t="s">
        <v>972</v>
      </c>
      <c r="B16" s="239">
        <v>7.03469821E8</v>
      </c>
      <c r="C16" s="239" t="s">
        <v>973</v>
      </c>
      <c r="D16" s="239">
        <v>7.77699519E8</v>
      </c>
      <c r="E16" s="239" t="s">
        <v>969</v>
      </c>
      <c r="F16" s="239">
        <v>300000.0</v>
      </c>
      <c r="G16" s="239">
        <v>60.0</v>
      </c>
      <c r="H16" s="240">
        <f t="shared" si="1"/>
        <v>207000</v>
      </c>
      <c r="I16" s="54">
        <f t="shared" si="2"/>
        <v>507000</v>
      </c>
      <c r="J16" s="240">
        <f t="shared" si="3"/>
        <v>8450</v>
      </c>
      <c r="K16" s="243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</row>
    <row r="17">
      <c r="A17" s="239" t="s">
        <v>974</v>
      </c>
      <c r="B17" s="239">
        <v>7.01796926E8</v>
      </c>
      <c r="C17" s="239" t="s">
        <v>975</v>
      </c>
      <c r="D17" s="239">
        <v>7.41120014E8</v>
      </c>
      <c r="E17" s="239" t="s">
        <v>969</v>
      </c>
      <c r="F17" s="239">
        <v>100000.0</v>
      </c>
      <c r="G17" s="239">
        <v>30.0</v>
      </c>
      <c r="H17" s="240">
        <f t="shared" si="1"/>
        <v>30000</v>
      </c>
      <c r="I17" s="54">
        <f t="shared" si="2"/>
        <v>130000</v>
      </c>
      <c r="J17" s="240">
        <f t="shared" si="3"/>
        <v>4333.333333</v>
      </c>
      <c r="K17" s="243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</row>
    <row r="18">
      <c r="A18" s="239" t="s">
        <v>976</v>
      </c>
      <c r="B18" s="239">
        <v>7.45013051E8</v>
      </c>
      <c r="C18" s="239" t="s">
        <v>977</v>
      </c>
      <c r="D18" s="239">
        <v>7.08419882E8</v>
      </c>
      <c r="E18" s="239" t="s">
        <v>969</v>
      </c>
      <c r="F18" s="239">
        <v>400000.0</v>
      </c>
      <c r="G18" s="239">
        <v>30.0</v>
      </c>
      <c r="H18" s="240">
        <f t="shared" si="1"/>
        <v>120000</v>
      </c>
      <c r="I18" s="54">
        <f t="shared" si="2"/>
        <v>520000</v>
      </c>
      <c r="J18" s="240">
        <f t="shared" si="3"/>
        <v>17333.33333</v>
      </c>
      <c r="K18" s="243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</row>
    <row r="19">
      <c r="A19" s="239" t="s">
        <v>978</v>
      </c>
      <c r="B19" s="239">
        <v>7.0440098E8</v>
      </c>
      <c r="C19" s="239" t="s">
        <v>979</v>
      </c>
      <c r="D19" s="239">
        <v>7.03763386E8</v>
      </c>
      <c r="E19" s="239" t="s">
        <v>26</v>
      </c>
      <c r="F19" s="239">
        <v>30000.0</v>
      </c>
      <c r="G19" s="239">
        <v>60.0</v>
      </c>
      <c r="H19" s="240">
        <f t="shared" si="1"/>
        <v>20700</v>
      </c>
      <c r="I19" s="54">
        <f t="shared" si="2"/>
        <v>50700</v>
      </c>
      <c r="J19" s="240">
        <f t="shared" si="3"/>
        <v>845</v>
      </c>
      <c r="K19" s="243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</row>
    <row r="20">
      <c r="A20" s="239" t="s">
        <v>980</v>
      </c>
      <c r="B20" s="245">
        <v>7.02970286E8</v>
      </c>
      <c r="C20" s="239" t="s">
        <v>981</v>
      </c>
      <c r="D20" s="239">
        <v>7.52966631E8</v>
      </c>
      <c r="E20" s="239" t="s">
        <v>982</v>
      </c>
      <c r="F20" s="239">
        <v>200000.0</v>
      </c>
      <c r="G20" s="239">
        <v>30.0</v>
      </c>
      <c r="H20" s="240">
        <f t="shared" si="1"/>
        <v>60000</v>
      </c>
      <c r="I20" s="54">
        <f t="shared" si="2"/>
        <v>260000</v>
      </c>
      <c r="J20" s="240">
        <f t="shared" si="3"/>
        <v>8666.666667</v>
      </c>
      <c r="K20" s="243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</row>
    <row r="21">
      <c r="A21" s="239" t="s">
        <v>983</v>
      </c>
      <c r="B21" s="239">
        <v>7.59425281E8</v>
      </c>
      <c r="C21" s="239" t="s">
        <v>984</v>
      </c>
      <c r="D21" s="239">
        <v>7.5197222E8</v>
      </c>
      <c r="E21" s="239" t="s">
        <v>982</v>
      </c>
      <c r="F21" s="239">
        <v>800000.0</v>
      </c>
      <c r="G21" s="239">
        <v>60.0</v>
      </c>
      <c r="H21" s="240">
        <f t="shared" si="1"/>
        <v>552000</v>
      </c>
      <c r="I21" s="54">
        <f t="shared" si="2"/>
        <v>1352000</v>
      </c>
      <c r="J21" s="240">
        <f t="shared" si="3"/>
        <v>22533.33333</v>
      </c>
      <c r="K21" s="243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</row>
    <row r="22">
      <c r="A22" s="239" t="s">
        <v>985</v>
      </c>
      <c r="B22" s="239">
        <v>7.04526674E8</v>
      </c>
      <c r="C22" s="239" t="s">
        <v>986</v>
      </c>
      <c r="D22" s="239">
        <v>7.46314151E8</v>
      </c>
      <c r="E22" s="239" t="s">
        <v>982</v>
      </c>
      <c r="F22" s="239">
        <v>100000.0</v>
      </c>
      <c r="G22" s="239">
        <v>30.0</v>
      </c>
      <c r="H22" s="240">
        <f t="shared" si="1"/>
        <v>30000</v>
      </c>
      <c r="I22" s="54">
        <f t="shared" si="2"/>
        <v>130000</v>
      </c>
      <c r="J22" s="240">
        <f t="shared" si="3"/>
        <v>4333.333333</v>
      </c>
      <c r="K22" s="243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</row>
    <row r="23">
      <c r="A23" s="239" t="s">
        <v>987</v>
      </c>
      <c r="B23" s="244"/>
      <c r="C23" s="239" t="s">
        <v>988</v>
      </c>
      <c r="D23" s="239">
        <v>7.59252578E8</v>
      </c>
      <c r="E23" s="239" t="s">
        <v>982</v>
      </c>
      <c r="F23" s="239">
        <v>200000.0</v>
      </c>
      <c r="G23" s="239">
        <v>30.0</v>
      </c>
      <c r="H23" s="240">
        <f t="shared" si="1"/>
        <v>60000</v>
      </c>
      <c r="I23" s="54">
        <f t="shared" si="2"/>
        <v>260000</v>
      </c>
      <c r="J23" s="240">
        <f t="shared" si="3"/>
        <v>8666.666667</v>
      </c>
      <c r="K23" s="243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</row>
    <row r="24">
      <c r="A24" s="239" t="s">
        <v>989</v>
      </c>
      <c r="B24" s="239">
        <v>7.06340094E8</v>
      </c>
      <c r="C24" s="239" t="s">
        <v>990</v>
      </c>
      <c r="D24" s="239">
        <v>7.04672281E8</v>
      </c>
      <c r="E24" s="239" t="s">
        <v>982</v>
      </c>
      <c r="F24" s="239">
        <v>100000.0</v>
      </c>
      <c r="G24" s="239">
        <v>30.0</v>
      </c>
      <c r="H24" s="240">
        <f t="shared" si="1"/>
        <v>30000</v>
      </c>
      <c r="I24" s="54">
        <f t="shared" si="2"/>
        <v>130000</v>
      </c>
      <c r="J24" s="240">
        <f t="shared" si="3"/>
        <v>4333.333333</v>
      </c>
      <c r="K24" s="243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</row>
    <row r="25">
      <c r="A25" s="239" t="s">
        <v>991</v>
      </c>
      <c r="B25" s="239">
        <v>7.07316302E8</v>
      </c>
      <c r="C25" s="239" t="s">
        <v>992</v>
      </c>
      <c r="D25" s="239">
        <v>7.58093032E8</v>
      </c>
      <c r="E25" s="239" t="s">
        <v>982</v>
      </c>
      <c r="F25" s="239">
        <v>160000.0</v>
      </c>
      <c r="G25" s="239">
        <v>30.0</v>
      </c>
      <c r="H25" s="240">
        <f t="shared" si="1"/>
        <v>48000</v>
      </c>
      <c r="I25" s="54">
        <f t="shared" si="2"/>
        <v>208000</v>
      </c>
      <c r="J25" s="240">
        <f t="shared" si="3"/>
        <v>6933.333333</v>
      </c>
      <c r="K25" s="243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</row>
    <row r="26">
      <c r="A26" s="239" t="s">
        <v>993</v>
      </c>
      <c r="B26" s="239">
        <v>7.09936594E8</v>
      </c>
      <c r="C26" s="239" t="s">
        <v>994</v>
      </c>
      <c r="D26" s="239">
        <v>7.67635694E8</v>
      </c>
      <c r="E26" s="239" t="s">
        <v>982</v>
      </c>
      <c r="F26" s="239">
        <v>100000.0</v>
      </c>
      <c r="G26" s="239">
        <v>30.0</v>
      </c>
      <c r="H26" s="240">
        <f t="shared" si="1"/>
        <v>30000</v>
      </c>
      <c r="I26" s="54">
        <f t="shared" si="2"/>
        <v>130000</v>
      </c>
      <c r="J26" s="240">
        <f t="shared" si="3"/>
        <v>4333.333333</v>
      </c>
      <c r="K26" s="243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</row>
    <row r="27">
      <c r="A27" s="239" t="s">
        <v>995</v>
      </c>
      <c r="B27" s="239">
        <v>7.51455768E8</v>
      </c>
      <c r="C27" s="239" t="s">
        <v>996</v>
      </c>
      <c r="D27" s="239">
        <v>7.01721708E8</v>
      </c>
      <c r="E27" s="239" t="s">
        <v>23</v>
      </c>
      <c r="F27" s="239">
        <v>200000.0</v>
      </c>
      <c r="G27" s="239">
        <v>30.0</v>
      </c>
      <c r="H27" s="240">
        <f t="shared" si="1"/>
        <v>60000</v>
      </c>
      <c r="I27" s="54">
        <f t="shared" si="2"/>
        <v>260000</v>
      </c>
      <c r="J27" s="240">
        <f t="shared" si="3"/>
        <v>8666.666667</v>
      </c>
      <c r="K27" s="243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</row>
    <row r="28">
      <c r="A28" s="239" t="s">
        <v>997</v>
      </c>
      <c r="B28" s="239">
        <v>7.02411425E8</v>
      </c>
      <c r="C28" s="239" t="s">
        <v>998</v>
      </c>
      <c r="D28" s="239">
        <v>7.76090803E8</v>
      </c>
      <c r="E28" s="239" t="s">
        <v>999</v>
      </c>
      <c r="F28" s="239">
        <v>200000.0</v>
      </c>
      <c r="G28" s="239">
        <v>30.0</v>
      </c>
      <c r="H28" s="240">
        <f t="shared" si="1"/>
        <v>60000</v>
      </c>
      <c r="I28" s="54">
        <f t="shared" si="2"/>
        <v>260000</v>
      </c>
      <c r="J28" s="240">
        <f t="shared" si="3"/>
        <v>8666.666667</v>
      </c>
      <c r="K28" s="243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</row>
    <row r="29">
      <c r="A29" s="239" t="s">
        <v>1000</v>
      </c>
      <c r="B29" s="239">
        <v>7.05594647E8</v>
      </c>
      <c r="C29" s="239" t="s">
        <v>1001</v>
      </c>
      <c r="D29" s="239">
        <v>7.05529732E8</v>
      </c>
      <c r="E29" s="239" t="s">
        <v>45</v>
      </c>
      <c r="F29" s="239">
        <v>300000.0</v>
      </c>
      <c r="G29" s="239">
        <v>60.0</v>
      </c>
      <c r="H29" s="240">
        <f t="shared" si="1"/>
        <v>207000</v>
      </c>
      <c r="I29" s="54">
        <f t="shared" si="2"/>
        <v>507000</v>
      </c>
      <c r="J29" s="240">
        <f t="shared" si="3"/>
        <v>8450</v>
      </c>
      <c r="K29" s="243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</row>
    <row r="30">
      <c r="A30" s="239" t="s">
        <v>1002</v>
      </c>
      <c r="B30" s="239">
        <v>7.6713158E8</v>
      </c>
      <c r="C30" s="239" t="s">
        <v>1003</v>
      </c>
      <c r="D30" s="239">
        <v>7.43432543E8</v>
      </c>
      <c r="E30" s="239" t="s">
        <v>999</v>
      </c>
      <c r="F30" s="239">
        <v>300000.0</v>
      </c>
      <c r="G30" s="239">
        <v>60.0</v>
      </c>
      <c r="H30" s="240">
        <f t="shared" si="1"/>
        <v>207000</v>
      </c>
      <c r="I30" s="54">
        <f t="shared" si="2"/>
        <v>507000</v>
      </c>
      <c r="J30" s="240">
        <f t="shared" si="3"/>
        <v>8450</v>
      </c>
      <c r="K30" s="243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</row>
    <row r="31">
      <c r="A31" s="239" t="s">
        <v>1004</v>
      </c>
      <c r="B31" s="239">
        <v>7.58907757E8</v>
      </c>
      <c r="C31" s="239" t="s">
        <v>1005</v>
      </c>
      <c r="D31" s="239">
        <v>7.61383414E8</v>
      </c>
      <c r="E31" s="239" t="s">
        <v>26</v>
      </c>
      <c r="F31" s="239">
        <v>300000.0</v>
      </c>
      <c r="G31" s="239">
        <v>30.0</v>
      </c>
      <c r="H31" s="240">
        <f t="shared" si="1"/>
        <v>90000</v>
      </c>
      <c r="I31" s="54">
        <f t="shared" si="2"/>
        <v>390000</v>
      </c>
      <c r="J31" s="240">
        <f t="shared" si="3"/>
        <v>13000</v>
      </c>
      <c r="K31" s="243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</row>
    <row r="32">
      <c r="A32" s="239" t="s">
        <v>61</v>
      </c>
      <c r="B32" s="239">
        <v>7.02273378E8</v>
      </c>
      <c r="C32" s="239" t="s">
        <v>1006</v>
      </c>
      <c r="D32" s="239">
        <v>7.01856117E8</v>
      </c>
      <c r="E32" s="239" t="s">
        <v>60</v>
      </c>
      <c r="F32" s="239">
        <v>150000.0</v>
      </c>
      <c r="G32" s="239">
        <v>30.0</v>
      </c>
      <c r="H32" s="240">
        <f t="shared" si="1"/>
        <v>45000</v>
      </c>
      <c r="I32" s="54">
        <f t="shared" si="2"/>
        <v>195000</v>
      </c>
      <c r="J32" s="240">
        <f t="shared" si="3"/>
        <v>6500</v>
      </c>
      <c r="K32" s="243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</row>
    <row r="33">
      <c r="A33" s="239" t="s">
        <v>1007</v>
      </c>
      <c r="B33" s="239">
        <v>7.02213436E8</v>
      </c>
      <c r="C33" s="239" t="s">
        <v>1008</v>
      </c>
      <c r="D33" s="239">
        <v>7.50117281E8</v>
      </c>
      <c r="E33" s="239" t="s">
        <v>45</v>
      </c>
      <c r="F33" s="239">
        <v>150000.0</v>
      </c>
      <c r="G33" s="239">
        <v>30.0</v>
      </c>
      <c r="H33" s="240">
        <f t="shared" si="1"/>
        <v>45000</v>
      </c>
      <c r="I33" s="54">
        <f t="shared" si="2"/>
        <v>195000</v>
      </c>
      <c r="J33" s="240">
        <f t="shared" si="3"/>
        <v>6500</v>
      </c>
      <c r="K33" s="243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</row>
    <row r="34">
      <c r="A34" s="239" t="s">
        <v>1009</v>
      </c>
      <c r="B34" s="239" t="s">
        <v>1010</v>
      </c>
      <c r="C34" s="239" t="s">
        <v>1011</v>
      </c>
      <c r="D34" s="239">
        <v>7.55570904E8</v>
      </c>
      <c r="E34" s="239" t="s">
        <v>23</v>
      </c>
      <c r="F34" s="239">
        <v>100000.0</v>
      </c>
      <c r="G34" s="239">
        <v>30.0</v>
      </c>
      <c r="H34" s="240">
        <f t="shared" si="1"/>
        <v>30000</v>
      </c>
      <c r="I34" s="54">
        <f t="shared" si="2"/>
        <v>130000</v>
      </c>
      <c r="J34" s="240">
        <f t="shared" si="3"/>
        <v>4333.333333</v>
      </c>
      <c r="K34" s="243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</row>
    <row r="35">
      <c r="A35" s="239" t="s">
        <v>1012</v>
      </c>
      <c r="B35" s="239">
        <v>7.00459483E8</v>
      </c>
      <c r="C35" s="239" t="s">
        <v>1013</v>
      </c>
      <c r="D35" s="239">
        <v>7.06137024E8</v>
      </c>
      <c r="E35" s="239" t="s">
        <v>489</v>
      </c>
      <c r="F35" s="239">
        <v>200000.0</v>
      </c>
      <c r="G35" s="239">
        <v>30.0</v>
      </c>
      <c r="H35" s="240">
        <f t="shared" si="1"/>
        <v>60000</v>
      </c>
      <c r="I35" s="54">
        <f t="shared" si="2"/>
        <v>260000</v>
      </c>
      <c r="J35" s="240">
        <f t="shared" si="3"/>
        <v>8666.666667</v>
      </c>
      <c r="K35" s="243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</row>
    <row r="36">
      <c r="A36" s="239" t="s">
        <v>1014</v>
      </c>
      <c r="B36" s="239">
        <v>7.52240517E8</v>
      </c>
      <c r="C36" s="239" t="s">
        <v>1015</v>
      </c>
      <c r="D36" s="239">
        <v>7.06739652E8</v>
      </c>
      <c r="E36" s="239" t="s">
        <v>771</v>
      </c>
      <c r="F36" s="239">
        <v>450000.0</v>
      </c>
      <c r="G36" s="239">
        <v>30.0</v>
      </c>
      <c r="H36" s="240">
        <f t="shared" si="1"/>
        <v>135000</v>
      </c>
      <c r="I36" s="54">
        <f t="shared" si="2"/>
        <v>585000</v>
      </c>
      <c r="J36" s="240">
        <f t="shared" si="3"/>
        <v>19500</v>
      </c>
      <c r="K36" s="243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</row>
    <row r="37">
      <c r="A37" s="239" t="s">
        <v>1016</v>
      </c>
      <c r="B37" s="239">
        <v>7.014341E8</v>
      </c>
      <c r="C37" s="239" t="s">
        <v>1017</v>
      </c>
      <c r="D37" s="239">
        <v>7.63312044E8</v>
      </c>
      <c r="E37" s="239" t="s">
        <v>969</v>
      </c>
      <c r="F37" s="239">
        <v>300000.0</v>
      </c>
      <c r="G37" s="239">
        <v>30.0</v>
      </c>
      <c r="H37" s="240">
        <f t="shared" si="1"/>
        <v>90000</v>
      </c>
      <c r="I37" s="54">
        <f t="shared" si="2"/>
        <v>390000</v>
      </c>
      <c r="J37" s="240">
        <f t="shared" si="3"/>
        <v>13000</v>
      </c>
      <c r="K37" s="243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</row>
    <row r="38">
      <c r="A38" s="239" t="s">
        <v>1018</v>
      </c>
      <c r="B38" s="239">
        <v>7.82557468E8</v>
      </c>
      <c r="C38" s="239" t="s">
        <v>1019</v>
      </c>
      <c r="D38" s="239">
        <v>7.72452425E8</v>
      </c>
      <c r="E38" s="239" t="s">
        <v>128</v>
      </c>
      <c r="F38" s="239">
        <v>160000.0</v>
      </c>
      <c r="G38" s="239">
        <v>60.0</v>
      </c>
      <c r="H38" s="240">
        <f t="shared" si="1"/>
        <v>110400</v>
      </c>
      <c r="I38" s="54">
        <f t="shared" si="2"/>
        <v>270400</v>
      </c>
      <c r="J38" s="240">
        <f t="shared" si="3"/>
        <v>4506.666667</v>
      </c>
      <c r="K38" s="243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</row>
    <row r="39">
      <c r="A39" s="239" t="s">
        <v>1020</v>
      </c>
      <c r="B39" s="239">
        <v>7.8789563E8</v>
      </c>
      <c r="C39" s="239" t="s">
        <v>1021</v>
      </c>
      <c r="D39" s="239">
        <v>7.57301767E8</v>
      </c>
      <c r="E39" s="239" t="s">
        <v>26</v>
      </c>
      <c r="F39" s="239">
        <v>400000.0</v>
      </c>
      <c r="G39" s="239">
        <v>30.0</v>
      </c>
      <c r="H39" s="240">
        <f t="shared" si="1"/>
        <v>120000</v>
      </c>
      <c r="I39" s="54">
        <f t="shared" si="2"/>
        <v>520000</v>
      </c>
      <c r="J39" s="240">
        <f t="shared" si="3"/>
        <v>17333.33333</v>
      </c>
      <c r="K39" s="243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</row>
    <row r="40">
      <c r="A40" s="239" t="s">
        <v>1022</v>
      </c>
      <c r="B40" s="239">
        <v>7.53270423E8</v>
      </c>
      <c r="C40" s="239" t="s">
        <v>1023</v>
      </c>
      <c r="D40" s="239">
        <v>7.43087864E8</v>
      </c>
      <c r="E40" s="239" t="s">
        <v>26</v>
      </c>
      <c r="F40" s="239">
        <v>200000.0</v>
      </c>
      <c r="G40" s="239">
        <v>30.0</v>
      </c>
      <c r="H40" s="240">
        <f t="shared" si="1"/>
        <v>60000</v>
      </c>
      <c r="I40" s="54">
        <f t="shared" si="2"/>
        <v>260000</v>
      </c>
      <c r="J40" s="240">
        <f t="shared" si="3"/>
        <v>8666.666667</v>
      </c>
      <c r="K40" s="243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</row>
    <row r="41">
      <c r="A41" s="239" t="s">
        <v>1024</v>
      </c>
      <c r="B41" s="239">
        <v>7.02637209E8</v>
      </c>
      <c r="C41" s="239" t="s">
        <v>1025</v>
      </c>
      <c r="D41" s="239">
        <v>7.50580801E8</v>
      </c>
      <c r="E41" s="239" t="s">
        <v>26</v>
      </c>
      <c r="F41" s="239">
        <v>300000.0</v>
      </c>
      <c r="G41" s="239">
        <v>60.0</v>
      </c>
      <c r="H41" s="240">
        <f t="shared" si="1"/>
        <v>207000</v>
      </c>
      <c r="I41" s="54">
        <f t="shared" si="2"/>
        <v>507000</v>
      </c>
      <c r="J41" s="240">
        <f t="shared" si="3"/>
        <v>8450</v>
      </c>
      <c r="K41" s="243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</row>
    <row r="42">
      <c r="A42" s="239" t="s">
        <v>1026</v>
      </c>
      <c r="B42" s="239">
        <v>7.07650782E8</v>
      </c>
      <c r="C42" s="239" t="s">
        <v>1027</v>
      </c>
      <c r="D42" s="239">
        <v>7.54545719E8</v>
      </c>
      <c r="E42" s="239" t="s">
        <v>26</v>
      </c>
      <c r="F42" s="239">
        <v>150000.0</v>
      </c>
      <c r="G42" s="239">
        <v>30.0</v>
      </c>
      <c r="H42" s="240">
        <f t="shared" si="1"/>
        <v>45000</v>
      </c>
      <c r="I42" s="54">
        <f t="shared" si="2"/>
        <v>195000</v>
      </c>
      <c r="J42" s="240">
        <f t="shared" si="3"/>
        <v>6500</v>
      </c>
      <c r="K42" s="243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</row>
    <row r="43">
      <c r="A43" s="239" t="s">
        <v>1028</v>
      </c>
      <c r="B43" s="239">
        <v>7.42641382E8</v>
      </c>
      <c r="C43" s="239" t="s">
        <v>1029</v>
      </c>
      <c r="D43" s="239">
        <v>7.01268356E8</v>
      </c>
      <c r="E43" s="239" t="s">
        <v>234</v>
      </c>
      <c r="F43" s="239">
        <v>500000.0</v>
      </c>
      <c r="G43" s="239">
        <v>30.0</v>
      </c>
      <c r="H43" s="240">
        <f t="shared" si="1"/>
        <v>150000</v>
      </c>
      <c r="I43" s="54">
        <f t="shared" si="2"/>
        <v>650000</v>
      </c>
      <c r="J43" s="240">
        <f t="shared" si="3"/>
        <v>21666.66667</v>
      </c>
      <c r="K43" s="243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</row>
    <row r="44">
      <c r="A44" s="239" t="s">
        <v>1030</v>
      </c>
      <c r="B44" s="239">
        <v>7.48820587E8</v>
      </c>
      <c r="C44" s="239" t="s">
        <v>1002</v>
      </c>
      <c r="D44" s="239">
        <v>7.6713158E8</v>
      </c>
      <c r="E44" s="239" t="s">
        <v>83</v>
      </c>
      <c r="F44" s="239">
        <v>100000.0</v>
      </c>
      <c r="G44" s="239">
        <v>30.0</v>
      </c>
      <c r="H44" s="240">
        <f t="shared" si="1"/>
        <v>30000</v>
      </c>
      <c r="I44" s="54">
        <f t="shared" si="2"/>
        <v>130000</v>
      </c>
      <c r="J44" s="240">
        <f t="shared" si="3"/>
        <v>4333.333333</v>
      </c>
      <c r="K44" s="243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</row>
    <row r="45">
      <c r="A45" s="239" t="s">
        <v>1031</v>
      </c>
      <c r="B45" s="239">
        <v>7.46881284E8</v>
      </c>
      <c r="C45" s="239" t="s">
        <v>1032</v>
      </c>
      <c r="D45" s="239">
        <v>7.08299209E8</v>
      </c>
      <c r="E45" s="239" t="s">
        <v>45</v>
      </c>
      <c r="F45" s="239">
        <v>150000.0</v>
      </c>
      <c r="G45" s="239">
        <v>30.0</v>
      </c>
      <c r="H45" s="240">
        <f t="shared" si="1"/>
        <v>45000</v>
      </c>
      <c r="I45" s="54">
        <f t="shared" si="2"/>
        <v>195000</v>
      </c>
      <c r="J45" s="240">
        <f t="shared" si="3"/>
        <v>6500</v>
      </c>
      <c r="K45" s="243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</row>
    <row r="46">
      <c r="A46" s="239" t="s">
        <v>1033</v>
      </c>
      <c r="B46" s="239">
        <v>7.0308156E8</v>
      </c>
      <c r="C46" s="239" t="s">
        <v>1034</v>
      </c>
      <c r="D46" s="239">
        <v>7.47430216E8</v>
      </c>
      <c r="E46" s="239" t="s">
        <v>1035</v>
      </c>
      <c r="F46" s="239">
        <v>500000.0</v>
      </c>
      <c r="G46" s="239">
        <v>30.0</v>
      </c>
      <c r="H46" s="240">
        <f t="shared" si="1"/>
        <v>150000</v>
      </c>
      <c r="I46" s="54">
        <f t="shared" si="2"/>
        <v>650000</v>
      </c>
      <c r="J46" s="240">
        <f t="shared" si="3"/>
        <v>21666.66667</v>
      </c>
      <c r="K46" s="243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</row>
    <row r="47">
      <c r="A47" s="239" t="s">
        <v>1036</v>
      </c>
      <c r="B47" s="239">
        <v>7.09786995E8</v>
      </c>
      <c r="C47" s="239" t="s">
        <v>1037</v>
      </c>
      <c r="D47" s="239">
        <v>7.52262782E8</v>
      </c>
      <c r="E47" s="239" t="s">
        <v>1038</v>
      </c>
      <c r="F47" s="239">
        <v>500000.0</v>
      </c>
      <c r="G47" s="239">
        <v>30.0</v>
      </c>
      <c r="H47" s="240">
        <f t="shared" si="1"/>
        <v>150000</v>
      </c>
      <c r="I47" s="54">
        <f t="shared" si="2"/>
        <v>650000</v>
      </c>
      <c r="J47" s="240">
        <f t="shared" si="3"/>
        <v>21666.66667</v>
      </c>
      <c r="K47" s="243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</row>
    <row r="48">
      <c r="A48" s="239" t="s">
        <v>1039</v>
      </c>
      <c r="B48" s="239">
        <v>7.79414787E8</v>
      </c>
      <c r="C48" s="239" t="s">
        <v>1040</v>
      </c>
      <c r="D48" s="239">
        <v>7.81894596E8</v>
      </c>
      <c r="E48" s="239" t="s">
        <v>151</v>
      </c>
      <c r="F48" s="239">
        <v>1000000.0</v>
      </c>
      <c r="G48" s="239">
        <v>30.0</v>
      </c>
      <c r="H48" s="240">
        <f t="shared" si="1"/>
        <v>300000</v>
      </c>
      <c r="I48" s="54">
        <f t="shared" si="2"/>
        <v>1300000</v>
      </c>
      <c r="J48" s="240">
        <f t="shared" si="3"/>
        <v>43333.33333</v>
      </c>
      <c r="K48" s="243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</row>
    <row r="49">
      <c r="A49" s="239" t="s">
        <v>1041</v>
      </c>
      <c r="B49" s="239">
        <v>7.54656507E8</v>
      </c>
      <c r="C49" s="239" t="s">
        <v>1042</v>
      </c>
      <c r="D49" s="239">
        <v>7.72656507E8</v>
      </c>
      <c r="E49" s="239" t="s">
        <v>1038</v>
      </c>
      <c r="F49" s="239">
        <v>1000000.0</v>
      </c>
      <c r="G49" s="239">
        <v>30.0</v>
      </c>
      <c r="H49" s="240">
        <f t="shared" si="1"/>
        <v>300000</v>
      </c>
      <c r="I49" s="54">
        <f t="shared" si="2"/>
        <v>1300000</v>
      </c>
      <c r="J49" s="240">
        <f t="shared" si="3"/>
        <v>43333.33333</v>
      </c>
      <c r="K49" s="243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</row>
    <row r="50">
      <c r="A50" s="239" t="s">
        <v>1017</v>
      </c>
      <c r="B50" s="239">
        <v>7.63312044E8</v>
      </c>
      <c r="C50" s="239" t="s">
        <v>1043</v>
      </c>
      <c r="D50" s="239">
        <v>7.03078857E8</v>
      </c>
      <c r="E50" s="239" t="s">
        <v>26</v>
      </c>
      <c r="F50" s="239">
        <v>400000.0</v>
      </c>
      <c r="G50" s="239">
        <v>60.0</v>
      </c>
      <c r="H50" s="240">
        <f t="shared" si="1"/>
        <v>276000</v>
      </c>
      <c r="I50" s="54">
        <f t="shared" si="2"/>
        <v>676000</v>
      </c>
      <c r="J50" s="240">
        <f t="shared" si="3"/>
        <v>11266.66667</v>
      </c>
      <c r="K50" s="243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</row>
    <row r="51">
      <c r="A51" s="239" t="s">
        <v>1044</v>
      </c>
      <c r="B51" s="239">
        <v>7.76739708E8</v>
      </c>
      <c r="C51" s="239" t="s">
        <v>1045</v>
      </c>
      <c r="D51" s="239">
        <v>7.79324634E8</v>
      </c>
      <c r="E51" s="239" t="s">
        <v>45</v>
      </c>
      <c r="F51" s="239">
        <v>100000.0</v>
      </c>
      <c r="G51" s="239">
        <v>30.0</v>
      </c>
      <c r="H51" s="240">
        <f t="shared" si="1"/>
        <v>30000</v>
      </c>
      <c r="I51" s="54">
        <f t="shared" si="2"/>
        <v>130000</v>
      </c>
      <c r="J51" s="240">
        <f t="shared" si="3"/>
        <v>4333.333333</v>
      </c>
      <c r="K51" s="243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</row>
    <row r="52">
      <c r="A52" s="239" t="s">
        <v>1046</v>
      </c>
      <c r="B52" s="239">
        <v>7.69048272E8</v>
      </c>
      <c r="C52" s="239" t="s">
        <v>1047</v>
      </c>
      <c r="D52" s="239">
        <v>7.59979543E8</v>
      </c>
      <c r="E52" s="239" t="s">
        <v>477</v>
      </c>
      <c r="F52" s="239">
        <v>70000.0</v>
      </c>
      <c r="G52" s="239">
        <v>30.0</v>
      </c>
      <c r="H52" s="240">
        <f t="shared" si="1"/>
        <v>21000</v>
      </c>
      <c r="I52" s="54">
        <f t="shared" si="2"/>
        <v>91000</v>
      </c>
      <c r="J52" s="240">
        <f t="shared" si="3"/>
        <v>3033.333333</v>
      </c>
      <c r="K52" s="243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</row>
    <row r="53">
      <c r="A53" s="239" t="s">
        <v>1048</v>
      </c>
      <c r="B53" s="239">
        <v>7.09565973E8</v>
      </c>
      <c r="C53" s="239" t="s">
        <v>1049</v>
      </c>
      <c r="D53" s="239">
        <v>7.44340223E8</v>
      </c>
      <c r="E53" s="239" t="s">
        <v>26</v>
      </c>
      <c r="F53" s="239">
        <v>400000.0</v>
      </c>
      <c r="G53" s="239">
        <v>60.0</v>
      </c>
      <c r="H53" s="240">
        <f t="shared" si="1"/>
        <v>276000</v>
      </c>
      <c r="I53" s="54">
        <f t="shared" si="2"/>
        <v>676000</v>
      </c>
      <c r="J53" s="240">
        <f t="shared" si="3"/>
        <v>11266.66667</v>
      </c>
      <c r="K53" s="243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</row>
    <row r="54">
      <c r="A54" s="239" t="s">
        <v>1028</v>
      </c>
      <c r="B54" s="239">
        <v>7.42641382E8</v>
      </c>
      <c r="C54" s="239" t="s">
        <v>1050</v>
      </c>
      <c r="D54" s="239">
        <v>7.42641382E8</v>
      </c>
      <c r="E54" s="239" t="s">
        <v>234</v>
      </c>
      <c r="F54" s="239">
        <v>200000.0</v>
      </c>
      <c r="G54" s="239">
        <v>30.0</v>
      </c>
      <c r="H54" s="240">
        <f t="shared" si="1"/>
        <v>60000</v>
      </c>
      <c r="I54" s="54">
        <f t="shared" si="2"/>
        <v>260000</v>
      </c>
      <c r="J54" s="240">
        <f t="shared" si="3"/>
        <v>8666.666667</v>
      </c>
      <c r="K54" s="243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</row>
    <row r="55">
      <c r="A55" s="239" t="s">
        <v>1051</v>
      </c>
      <c r="B55" s="244"/>
      <c r="C55" s="239" t="s">
        <v>1052</v>
      </c>
      <c r="D55" s="239">
        <v>7.078033E8</v>
      </c>
      <c r="E55" s="239" t="s">
        <v>234</v>
      </c>
      <c r="F55" s="239">
        <v>200000.0</v>
      </c>
      <c r="G55" s="239">
        <v>30.0</v>
      </c>
      <c r="H55" s="240">
        <f t="shared" si="1"/>
        <v>60000</v>
      </c>
      <c r="I55" s="54">
        <f t="shared" si="2"/>
        <v>260000</v>
      </c>
      <c r="J55" s="240">
        <f t="shared" si="3"/>
        <v>8666.666667</v>
      </c>
      <c r="K55" s="243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</row>
    <row r="56">
      <c r="A56" s="239" t="s">
        <v>1053</v>
      </c>
      <c r="B56" s="239">
        <v>7.37757573E8</v>
      </c>
      <c r="C56" s="239" t="s">
        <v>1054</v>
      </c>
      <c r="D56" s="239">
        <v>7.07751225E8</v>
      </c>
      <c r="E56" s="239" t="s">
        <v>26</v>
      </c>
      <c r="F56" s="239">
        <v>300000.0</v>
      </c>
      <c r="G56" s="239">
        <v>30.0</v>
      </c>
      <c r="H56" s="240">
        <f t="shared" si="1"/>
        <v>90000</v>
      </c>
      <c r="I56" s="54">
        <f t="shared" si="2"/>
        <v>390000</v>
      </c>
      <c r="J56" s="240">
        <f t="shared" si="3"/>
        <v>13000</v>
      </c>
      <c r="K56" s="243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</row>
    <row r="57">
      <c r="A57" s="239" t="s">
        <v>1055</v>
      </c>
      <c r="B57" s="239">
        <v>7.51422927E8</v>
      </c>
      <c r="C57" s="239" t="s">
        <v>1056</v>
      </c>
      <c r="D57" s="239">
        <v>7.0790752E8</v>
      </c>
      <c r="E57" s="239" t="s">
        <v>26</v>
      </c>
      <c r="F57" s="239">
        <v>400000.0</v>
      </c>
      <c r="G57" s="239">
        <v>30.0</v>
      </c>
      <c r="H57" s="240">
        <f t="shared" si="1"/>
        <v>120000</v>
      </c>
      <c r="I57" s="54">
        <f t="shared" si="2"/>
        <v>520000</v>
      </c>
      <c r="J57" s="240">
        <f t="shared" si="3"/>
        <v>17333.33333</v>
      </c>
      <c r="K57" s="243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</row>
    <row r="58">
      <c r="A58" s="239" t="s">
        <v>754</v>
      </c>
      <c r="B58" s="239">
        <v>7.01609316E8</v>
      </c>
      <c r="C58" s="239" t="s">
        <v>755</v>
      </c>
      <c r="D58" s="239">
        <v>7.53912424E8</v>
      </c>
      <c r="E58" s="239" t="s">
        <v>26</v>
      </c>
      <c r="F58" s="239">
        <v>300000.0</v>
      </c>
      <c r="G58" s="239">
        <v>30.0</v>
      </c>
      <c r="H58" s="240">
        <f t="shared" si="1"/>
        <v>90000</v>
      </c>
      <c r="I58" s="54">
        <f t="shared" si="2"/>
        <v>390000</v>
      </c>
      <c r="J58" s="240">
        <f t="shared" si="3"/>
        <v>13000</v>
      </c>
      <c r="K58" s="243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</row>
    <row r="59">
      <c r="A59" s="239" t="s">
        <v>1057</v>
      </c>
      <c r="B59" s="239">
        <v>7.50380516E8</v>
      </c>
      <c r="C59" s="239" t="s">
        <v>1058</v>
      </c>
      <c r="D59" s="239">
        <v>7.52650234E8</v>
      </c>
      <c r="E59" s="239" t="s">
        <v>128</v>
      </c>
      <c r="F59" s="239">
        <v>150000.0</v>
      </c>
      <c r="G59" s="239">
        <v>30.0</v>
      </c>
      <c r="H59" s="240">
        <f t="shared" si="1"/>
        <v>45000</v>
      </c>
      <c r="I59" s="54">
        <f t="shared" si="2"/>
        <v>195000</v>
      </c>
      <c r="J59" s="240">
        <f t="shared" si="3"/>
        <v>6500</v>
      </c>
      <c r="K59" s="243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</row>
    <row r="60">
      <c r="A60" s="239" t="s">
        <v>1059</v>
      </c>
      <c r="B60" s="239">
        <v>7.52333158E8</v>
      </c>
      <c r="C60" s="244"/>
      <c r="D60" s="244"/>
      <c r="E60" s="239" t="s">
        <v>60</v>
      </c>
      <c r="F60" s="239">
        <v>120000.0</v>
      </c>
      <c r="G60" s="239">
        <v>30.0</v>
      </c>
      <c r="H60" s="240">
        <f t="shared" si="1"/>
        <v>36000</v>
      </c>
      <c r="I60" s="54">
        <f t="shared" si="2"/>
        <v>156000</v>
      </c>
      <c r="J60" s="240">
        <f t="shared" si="3"/>
        <v>5200</v>
      </c>
      <c r="K60" s="243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</row>
    <row r="61">
      <c r="A61" s="239" t="s">
        <v>1060</v>
      </c>
      <c r="B61" s="239">
        <v>7.6860997E8</v>
      </c>
      <c r="C61" s="239" t="s">
        <v>1061</v>
      </c>
      <c r="D61" s="239">
        <v>7.86766728E8</v>
      </c>
      <c r="E61" s="239" t="s">
        <v>771</v>
      </c>
      <c r="F61" s="239">
        <v>200000.0</v>
      </c>
      <c r="G61" s="239">
        <v>60.0</v>
      </c>
      <c r="H61" s="240">
        <f t="shared" si="1"/>
        <v>138000</v>
      </c>
      <c r="I61" s="54">
        <f t="shared" si="2"/>
        <v>338000</v>
      </c>
      <c r="J61" s="240">
        <f t="shared" si="3"/>
        <v>5633.333333</v>
      </c>
      <c r="K61" s="243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</row>
    <row r="62">
      <c r="A62" s="239" t="s">
        <v>1062</v>
      </c>
      <c r="B62" s="239">
        <v>7.47198353E8</v>
      </c>
      <c r="C62" s="239" t="s">
        <v>1063</v>
      </c>
      <c r="D62" s="239">
        <v>7.60264564E8</v>
      </c>
      <c r="E62" s="239" t="s">
        <v>143</v>
      </c>
      <c r="F62" s="239">
        <v>200000.0</v>
      </c>
      <c r="G62" s="239">
        <v>30.0</v>
      </c>
      <c r="H62" s="240">
        <f t="shared" si="1"/>
        <v>60000</v>
      </c>
      <c r="I62" s="54">
        <f t="shared" si="2"/>
        <v>260000</v>
      </c>
      <c r="J62" s="240">
        <f t="shared" si="3"/>
        <v>8666.666667</v>
      </c>
      <c r="K62" s="243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</row>
    <row r="63">
      <c r="A63" s="239" t="s">
        <v>1064</v>
      </c>
      <c r="B63" s="239">
        <v>0.0</v>
      </c>
      <c r="C63" s="239" t="s">
        <v>1065</v>
      </c>
      <c r="D63" s="239">
        <v>7.57400829E8</v>
      </c>
      <c r="E63" s="239" t="s">
        <v>26</v>
      </c>
      <c r="F63" s="239">
        <v>400000.0</v>
      </c>
      <c r="G63" s="239">
        <v>30.0</v>
      </c>
      <c r="H63" s="240">
        <f t="shared" si="1"/>
        <v>120000</v>
      </c>
      <c r="I63" s="54">
        <f t="shared" si="2"/>
        <v>520000</v>
      </c>
      <c r="J63" s="240">
        <f t="shared" si="3"/>
        <v>17333.33333</v>
      </c>
      <c r="K63" s="243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</row>
    <row r="64">
      <c r="A64" s="239" t="s">
        <v>1066</v>
      </c>
      <c r="B64" s="239">
        <v>7.44047789E8</v>
      </c>
      <c r="C64" s="239" t="s">
        <v>1067</v>
      </c>
      <c r="D64" s="239">
        <v>7.82285725E8</v>
      </c>
      <c r="E64" s="239" t="s">
        <v>982</v>
      </c>
      <c r="F64" s="239">
        <v>400000.0</v>
      </c>
      <c r="G64" s="239">
        <v>60.0</v>
      </c>
      <c r="H64" s="240">
        <f t="shared" si="1"/>
        <v>276000</v>
      </c>
      <c r="I64" s="54">
        <f t="shared" si="2"/>
        <v>676000</v>
      </c>
      <c r="J64" s="240">
        <f t="shared" si="3"/>
        <v>11266.66667</v>
      </c>
      <c r="K64" s="243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</row>
    <row r="65">
      <c r="A65" s="239" t="s">
        <v>1068</v>
      </c>
      <c r="B65" s="239">
        <v>7.57232088E8</v>
      </c>
      <c r="C65" s="239" t="s">
        <v>1069</v>
      </c>
      <c r="D65" s="239">
        <v>7.57361852E8</v>
      </c>
      <c r="E65" s="239" t="s">
        <v>982</v>
      </c>
      <c r="F65" s="239">
        <v>100000.0</v>
      </c>
      <c r="G65" s="239">
        <v>30.0</v>
      </c>
      <c r="H65" s="240">
        <f t="shared" si="1"/>
        <v>30000</v>
      </c>
      <c r="I65" s="54">
        <f t="shared" si="2"/>
        <v>130000</v>
      </c>
      <c r="J65" s="240">
        <f t="shared" si="3"/>
        <v>4333.333333</v>
      </c>
      <c r="K65" s="243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</row>
    <row r="66">
      <c r="A66" s="239" t="s">
        <v>1070</v>
      </c>
      <c r="B66" s="239">
        <v>7.55619991E8</v>
      </c>
      <c r="C66" s="239" t="s">
        <v>1071</v>
      </c>
      <c r="D66" s="239">
        <v>7.70619558E8</v>
      </c>
      <c r="E66" s="239" t="s">
        <v>982</v>
      </c>
      <c r="F66" s="239">
        <v>300000.0</v>
      </c>
      <c r="G66" s="239">
        <v>60.0</v>
      </c>
      <c r="H66" s="240">
        <f t="shared" si="1"/>
        <v>207000</v>
      </c>
      <c r="I66" s="54">
        <f t="shared" si="2"/>
        <v>507000</v>
      </c>
      <c r="J66" s="240">
        <f t="shared" si="3"/>
        <v>8450</v>
      </c>
      <c r="K66" s="243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</row>
    <row r="67">
      <c r="A67" s="239" t="s">
        <v>1072</v>
      </c>
      <c r="B67" s="239">
        <v>7.52759357E8</v>
      </c>
      <c r="C67" s="239" t="s">
        <v>1073</v>
      </c>
      <c r="D67" s="239">
        <v>7.02606966E8</v>
      </c>
      <c r="E67" s="239" t="s">
        <v>982</v>
      </c>
      <c r="F67" s="239">
        <v>300000.0</v>
      </c>
      <c r="G67" s="239">
        <v>60.0</v>
      </c>
      <c r="H67" s="240">
        <f t="shared" si="1"/>
        <v>207000</v>
      </c>
      <c r="I67" s="54">
        <f t="shared" si="2"/>
        <v>507000</v>
      </c>
      <c r="J67" s="240">
        <f t="shared" si="3"/>
        <v>8450</v>
      </c>
      <c r="K67" s="243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</row>
    <row r="68">
      <c r="A68" s="239" t="s">
        <v>1074</v>
      </c>
      <c r="B68" s="239">
        <v>7.02120475E8</v>
      </c>
      <c r="C68" s="239" t="s">
        <v>1075</v>
      </c>
      <c r="D68" s="239">
        <v>7.52601725E8</v>
      </c>
      <c r="E68" s="239" t="s">
        <v>143</v>
      </c>
      <c r="F68" s="239">
        <v>400000.0</v>
      </c>
      <c r="G68" s="239">
        <v>30.0</v>
      </c>
      <c r="H68" s="240">
        <f t="shared" si="1"/>
        <v>120000</v>
      </c>
      <c r="I68" s="54">
        <f t="shared" si="2"/>
        <v>520000</v>
      </c>
      <c r="J68" s="240">
        <f t="shared" si="3"/>
        <v>17333.33333</v>
      </c>
      <c r="K68" s="243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</row>
    <row r="69">
      <c r="A69" s="239" t="s">
        <v>1076</v>
      </c>
      <c r="B69" s="239">
        <v>7.51122806E8</v>
      </c>
      <c r="C69" s="239" t="s">
        <v>1077</v>
      </c>
      <c r="D69" s="239">
        <v>7.07602032E8</v>
      </c>
      <c r="E69" s="239" t="s">
        <v>982</v>
      </c>
      <c r="F69" s="239">
        <v>400000.0</v>
      </c>
      <c r="G69" s="239">
        <v>30.0</v>
      </c>
      <c r="H69" s="240">
        <f t="shared" si="1"/>
        <v>120000</v>
      </c>
      <c r="I69" s="54">
        <f t="shared" si="2"/>
        <v>520000</v>
      </c>
      <c r="J69" s="240">
        <f t="shared" si="3"/>
        <v>17333.33333</v>
      </c>
      <c r="K69" s="243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</row>
    <row r="70">
      <c r="A70" s="239" t="s">
        <v>1078</v>
      </c>
      <c r="B70" s="239">
        <v>7.77271165E8</v>
      </c>
      <c r="C70" s="239" t="s">
        <v>1079</v>
      </c>
      <c r="D70" s="239">
        <v>7.44047857E8</v>
      </c>
      <c r="E70" s="239" t="s">
        <v>1080</v>
      </c>
      <c r="F70" s="239">
        <v>150000.0</v>
      </c>
      <c r="G70" s="239">
        <v>30.0</v>
      </c>
      <c r="H70" s="240">
        <f t="shared" si="1"/>
        <v>45000</v>
      </c>
      <c r="I70" s="54">
        <f t="shared" si="2"/>
        <v>195000</v>
      </c>
      <c r="J70" s="240">
        <f t="shared" si="3"/>
        <v>6500</v>
      </c>
      <c r="K70" s="243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</row>
    <row r="71">
      <c r="A71" s="239" t="s">
        <v>1081</v>
      </c>
      <c r="B71" s="239">
        <v>7.64799088E8</v>
      </c>
      <c r="C71" s="239" t="s">
        <v>1082</v>
      </c>
      <c r="D71" s="239">
        <v>7.40540376E8</v>
      </c>
      <c r="E71" s="239" t="s">
        <v>1080</v>
      </c>
      <c r="F71" s="239">
        <v>100000.0</v>
      </c>
      <c r="G71" s="239">
        <v>30.0</v>
      </c>
      <c r="H71" s="240">
        <f t="shared" si="1"/>
        <v>30000</v>
      </c>
      <c r="I71" s="54">
        <f t="shared" si="2"/>
        <v>130000</v>
      </c>
      <c r="J71" s="240">
        <f t="shared" si="3"/>
        <v>4333.333333</v>
      </c>
      <c r="K71" s="243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</row>
    <row r="72">
      <c r="A72" s="239" t="s">
        <v>1083</v>
      </c>
      <c r="B72" s="239">
        <v>7.59007543E8</v>
      </c>
      <c r="C72" s="239" t="s">
        <v>1084</v>
      </c>
      <c r="D72" s="239">
        <v>7.86779664E8</v>
      </c>
      <c r="E72" s="239" t="s">
        <v>143</v>
      </c>
      <c r="F72" s="239">
        <v>300000.0</v>
      </c>
      <c r="G72" s="239">
        <v>30.0</v>
      </c>
      <c r="H72" s="240">
        <f t="shared" si="1"/>
        <v>90000</v>
      </c>
      <c r="I72" s="54">
        <f t="shared" si="2"/>
        <v>390000</v>
      </c>
      <c r="J72" s="240">
        <f t="shared" si="3"/>
        <v>13000</v>
      </c>
      <c r="K72" s="243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</row>
    <row r="73">
      <c r="A73" s="239" t="s">
        <v>1085</v>
      </c>
      <c r="B73" s="244"/>
      <c r="C73" s="239" t="s">
        <v>1086</v>
      </c>
      <c r="D73" s="239">
        <v>7.86499544E8</v>
      </c>
      <c r="E73" s="239" t="s">
        <v>982</v>
      </c>
      <c r="F73" s="239">
        <v>150000.0</v>
      </c>
      <c r="G73" s="239">
        <v>30.0</v>
      </c>
      <c r="H73" s="240">
        <f t="shared" si="1"/>
        <v>45000</v>
      </c>
      <c r="I73" s="54">
        <f t="shared" si="2"/>
        <v>195000</v>
      </c>
      <c r="J73" s="240">
        <f t="shared" si="3"/>
        <v>6500</v>
      </c>
      <c r="K73" s="243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</row>
    <row r="74">
      <c r="A74" s="239" t="s">
        <v>1087</v>
      </c>
      <c r="B74" s="239">
        <v>7.84688427E8</v>
      </c>
      <c r="C74" s="239" t="s">
        <v>1088</v>
      </c>
      <c r="D74" s="239">
        <v>7.75326538E8</v>
      </c>
      <c r="E74" s="239" t="s">
        <v>982</v>
      </c>
      <c r="F74" s="239">
        <v>300000.0</v>
      </c>
      <c r="G74" s="239">
        <v>30.0</v>
      </c>
      <c r="H74" s="240">
        <f t="shared" si="1"/>
        <v>90000</v>
      </c>
      <c r="I74" s="54">
        <f t="shared" si="2"/>
        <v>390000</v>
      </c>
      <c r="J74" s="240">
        <f t="shared" si="3"/>
        <v>13000</v>
      </c>
      <c r="K74" s="243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</row>
    <row r="75">
      <c r="A75" s="239" t="s">
        <v>1089</v>
      </c>
      <c r="B75" s="239">
        <v>7.43758262E8</v>
      </c>
      <c r="C75" s="239" t="s">
        <v>1090</v>
      </c>
      <c r="D75" s="239">
        <v>7.63487905E8</v>
      </c>
      <c r="E75" s="239" t="s">
        <v>1091</v>
      </c>
      <c r="F75" s="239">
        <v>300000.0</v>
      </c>
      <c r="G75" s="239">
        <v>60.0</v>
      </c>
      <c r="H75" s="240">
        <f t="shared" si="1"/>
        <v>207000</v>
      </c>
      <c r="I75" s="54">
        <f t="shared" si="2"/>
        <v>507000</v>
      </c>
      <c r="J75" s="240">
        <f t="shared" si="3"/>
        <v>8450</v>
      </c>
      <c r="K75" s="243"/>
      <c r="L75" s="244"/>
      <c r="M75" s="244"/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</row>
    <row r="76">
      <c r="A76" s="239" t="s">
        <v>1092</v>
      </c>
      <c r="B76" s="239">
        <v>7.01452269E8</v>
      </c>
      <c r="C76" s="239" t="s">
        <v>1093</v>
      </c>
      <c r="D76" s="239">
        <v>7.47102003E8</v>
      </c>
      <c r="E76" s="239" t="s">
        <v>1080</v>
      </c>
      <c r="F76" s="239">
        <v>100000.0</v>
      </c>
      <c r="G76" s="239">
        <v>30.0</v>
      </c>
      <c r="H76" s="240">
        <f t="shared" si="1"/>
        <v>30000</v>
      </c>
      <c r="I76" s="54">
        <f t="shared" si="2"/>
        <v>130000</v>
      </c>
      <c r="J76" s="240">
        <f t="shared" si="3"/>
        <v>4333.333333</v>
      </c>
      <c r="K76" s="243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</row>
    <row r="77">
      <c r="A77" s="239" t="s">
        <v>1094</v>
      </c>
      <c r="B77" s="239">
        <v>7.0885717E8</v>
      </c>
      <c r="C77" s="239" t="s">
        <v>1095</v>
      </c>
      <c r="D77" s="239">
        <v>7.57792539E8</v>
      </c>
      <c r="E77" s="239" t="s">
        <v>1096</v>
      </c>
      <c r="F77" s="239">
        <v>150000.0</v>
      </c>
      <c r="G77" s="239">
        <v>30.0</v>
      </c>
      <c r="H77" s="240">
        <f t="shared" si="1"/>
        <v>45000</v>
      </c>
      <c r="I77" s="54">
        <f t="shared" si="2"/>
        <v>195000</v>
      </c>
      <c r="J77" s="240">
        <f t="shared" si="3"/>
        <v>6500</v>
      </c>
      <c r="K77" s="243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</row>
    <row r="78">
      <c r="A78" s="239" t="s">
        <v>1097</v>
      </c>
      <c r="B78" s="239">
        <v>7.41930841E8</v>
      </c>
      <c r="C78" s="239" t="s">
        <v>1098</v>
      </c>
      <c r="D78" s="239">
        <v>7.07251159E8</v>
      </c>
      <c r="E78" s="239" t="s">
        <v>234</v>
      </c>
      <c r="F78" s="239">
        <v>120000.0</v>
      </c>
      <c r="G78" s="239">
        <v>30.0</v>
      </c>
      <c r="H78" s="240">
        <f t="shared" si="1"/>
        <v>36000</v>
      </c>
      <c r="I78" s="54">
        <f t="shared" si="2"/>
        <v>156000</v>
      </c>
      <c r="J78" s="240">
        <f t="shared" si="3"/>
        <v>5200</v>
      </c>
      <c r="K78" s="243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</row>
    <row r="79">
      <c r="A79" s="239" t="s">
        <v>1099</v>
      </c>
      <c r="B79" s="239">
        <v>7.06250803E8</v>
      </c>
      <c r="C79" s="239" t="s">
        <v>1100</v>
      </c>
      <c r="D79" s="239">
        <v>7.89379385E8</v>
      </c>
      <c r="E79" s="239" t="s">
        <v>982</v>
      </c>
      <c r="F79" s="239">
        <v>300000.0</v>
      </c>
      <c r="G79" s="239">
        <v>30.0</v>
      </c>
      <c r="H79" s="240">
        <f t="shared" si="1"/>
        <v>90000</v>
      </c>
      <c r="I79" s="54">
        <f t="shared" si="2"/>
        <v>390000</v>
      </c>
      <c r="J79" s="240">
        <f t="shared" si="3"/>
        <v>13000</v>
      </c>
      <c r="K79" s="243"/>
      <c r="L79" s="244"/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</row>
    <row r="80">
      <c r="A80" s="239" t="s">
        <v>448</v>
      </c>
      <c r="B80" s="239">
        <v>7.76184177E8</v>
      </c>
      <c r="C80" s="239" t="s">
        <v>1101</v>
      </c>
      <c r="D80" s="239">
        <v>7.41194832E8</v>
      </c>
      <c r="E80" s="239" t="s">
        <v>982</v>
      </c>
      <c r="F80" s="239">
        <v>300000.0</v>
      </c>
      <c r="G80" s="239">
        <v>60.0</v>
      </c>
      <c r="H80" s="240">
        <f t="shared" si="1"/>
        <v>207000</v>
      </c>
      <c r="I80" s="54">
        <f t="shared" si="2"/>
        <v>507000</v>
      </c>
      <c r="J80" s="240">
        <f t="shared" si="3"/>
        <v>8450</v>
      </c>
      <c r="K80" s="243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</row>
    <row r="81">
      <c r="A81" s="239" t="s">
        <v>1102</v>
      </c>
      <c r="B81" s="239">
        <v>7.74663236E8</v>
      </c>
      <c r="C81" s="239" t="s">
        <v>1103</v>
      </c>
      <c r="D81" s="239">
        <v>7.08933802E8</v>
      </c>
      <c r="E81" s="239" t="s">
        <v>982</v>
      </c>
      <c r="F81" s="239">
        <v>400000.0</v>
      </c>
      <c r="G81" s="239">
        <v>60.0</v>
      </c>
      <c r="H81" s="240">
        <f t="shared" si="1"/>
        <v>276000</v>
      </c>
      <c r="I81" s="54">
        <f t="shared" si="2"/>
        <v>676000</v>
      </c>
      <c r="J81" s="240">
        <f t="shared" si="3"/>
        <v>11266.66667</v>
      </c>
      <c r="K81" s="243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</row>
    <row r="82">
      <c r="A82" s="239" t="s">
        <v>498</v>
      </c>
      <c r="B82" s="239">
        <v>7.50680009E8</v>
      </c>
      <c r="C82" s="239" t="s">
        <v>1104</v>
      </c>
      <c r="D82" s="239">
        <v>7.03739086E8</v>
      </c>
      <c r="E82" s="239" t="s">
        <v>408</v>
      </c>
      <c r="F82" s="239">
        <v>200000.0</v>
      </c>
      <c r="G82" s="239">
        <v>30.0</v>
      </c>
      <c r="H82" s="240">
        <f t="shared" si="1"/>
        <v>60000</v>
      </c>
      <c r="I82" s="54">
        <f t="shared" si="2"/>
        <v>260000</v>
      </c>
      <c r="J82" s="240">
        <f t="shared" si="3"/>
        <v>8666.666667</v>
      </c>
      <c r="K82" s="243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</row>
    <row r="83">
      <c r="A83" s="239" t="s">
        <v>677</v>
      </c>
      <c r="B83" s="239">
        <v>7.5471514E8</v>
      </c>
      <c r="C83" s="239" t="s">
        <v>1105</v>
      </c>
      <c r="D83" s="239">
        <v>7.45019496E8</v>
      </c>
      <c r="E83" s="239" t="s">
        <v>982</v>
      </c>
      <c r="F83" s="239">
        <v>400000.0</v>
      </c>
      <c r="G83" s="239">
        <v>60.0</v>
      </c>
      <c r="H83" s="240">
        <f t="shared" si="1"/>
        <v>276000</v>
      </c>
      <c r="I83" s="54">
        <f t="shared" si="2"/>
        <v>676000</v>
      </c>
      <c r="J83" s="240">
        <f t="shared" si="3"/>
        <v>11266.66667</v>
      </c>
      <c r="K83" s="243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</row>
    <row r="84">
      <c r="A84" s="239" t="s">
        <v>1106</v>
      </c>
      <c r="B84" s="239">
        <v>7.08570655E8</v>
      </c>
      <c r="C84" s="239" t="s">
        <v>1107</v>
      </c>
      <c r="D84" s="239">
        <v>7.52154891E8</v>
      </c>
      <c r="E84" s="239" t="s">
        <v>143</v>
      </c>
      <c r="F84" s="239">
        <v>300000.0</v>
      </c>
      <c r="G84" s="239">
        <v>60.0</v>
      </c>
      <c r="H84" s="240">
        <f t="shared" si="1"/>
        <v>207000</v>
      </c>
      <c r="I84" s="54">
        <f t="shared" si="2"/>
        <v>507000</v>
      </c>
      <c r="J84" s="240">
        <f t="shared" si="3"/>
        <v>8450</v>
      </c>
      <c r="K84" s="243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</row>
    <row r="85">
      <c r="A85" s="239" t="s">
        <v>1108</v>
      </c>
      <c r="B85" s="239">
        <v>7.40908463E8</v>
      </c>
      <c r="C85" s="239" t="s">
        <v>1109</v>
      </c>
      <c r="D85" s="239">
        <v>7.55710681E8</v>
      </c>
      <c r="E85" s="239" t="s">
        <v>982</v>
      </c>
      <c r="F85" s="239">
        <v>300000.0</v>
      </c>
      <c r="G85" s="239">
        <v>30.0</v>
      </c>
      <c r="H85" s="240">
        <f t="shared" si="1"/>
        <v>90000</v>
      </c>
      <c r="I85" s="54">
        <f t="shared" si="2"/>
        <v>390000</v>
      </c>
      <c r="J85" s="240">
        <f t="shared" si="3"/>
        <v>13000</v>
      </c>
      <c r="K85" s="243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</row>
    <row r="86">
      <c r="A86" s="239" t="s">
        <v>1110</v>
      </c>
      <c r="B86" s="239">
        <v>7.61877331E8</v>
      </c>
      <c r="C86" s="239" t="s">
        <v>1111</v>
      </c>
      <c r="D86" s="239">
        <v>7.05491479E8</v>
      </c>
      <c r="E86" s="239" t="s">
        <v>982</v>
      </c>
      <c r="F86" s="239">
        <v>400000.0</v>
      </c>
      <c r="G86" s="239">
        <v>30.0</v>
      </c>
      <c r="H86" s="240">
        <f t="shared" si="1"/>
        <v>120000</v>
      </c>
      <c r="I86" s="54">
        <f t="shared" si="2"/>
        <v>520000</v>
      </c>
      <c r="J86" s="240">
        <f t="shared" si="3"/>
        <v>17333.33333</v>
      </c>
      <c r="K86" s="243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</row>
    <row r="87">
      <c r="A87" s="239" t="s">
        <v>1112</v>
      </c>
      <c r="B87" s="239">
        <v>7.04817424E8</v>
      </c>
      <c r="C87" s="239" t="s">
        <v>1113</v>
      </c>
      <c r="D87" s="239">
        <v>7.04561498E8</v>
      </c>
      <c r="E87" s="239" t="s">
        <v>189</v>
      </c>
      <c r="F87" s="239">
        <v>250000.0</v>
      </c>
      <c r="G87" s="239">
        <v>30.0</v>
      </c>
      <c r="H87" s="244"/>
      <c r="I87" s="24"/>
      <c r="J87" s="244"/>
      <c r="K87" s="243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</row>
    <row r="88">
      <c r="A88" s="239" t="s">
        <v>1114</v>
      </c>
      <c r="B88" s="239">
        <v>7.450621E8</v>
      </c>
      <c r="C88" s="239" t="s">
        <v>1115</v>
      </c>
      <c r="D88" s="239">
        <v>7.63809697E8</v>
      </c>
      <c r="E88" s="239" t="s">
        <v>11</v>
      </c>
      <c r="F88" s="239">
        <v>400000.0</v>
      </c>
      <c r="G88" s="244"/>
      <c r="H88" s="244"/>
      <c r="I88" s="24"/>
      <c r="J88" s="244"/>
      <c r="K88" s="243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</row>
    <row r="89">
      <c r="A89" s="244"/>
      <c r="B89" s="244"/>
      <c r="C89" s="244"/>
      <c r="D89" s="244"/>
      <c r="E89" s="244"/>
      <c r="F89" s="244"/>
      <c r="G89" s="244"/>
      <c r="H89" s="244"/>
      <c r="I89" s="24"/>
      <c r="J89" s="244"/>
      <c r="K89" s="243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</row>
    <row r="90">
      <c r="A90" s="244"/>
      <c r="B90" s="244"/>
      <c r="C90" s="244"/>
      <c r="D90" s="244"/>
      <c r="E90" s="244"/>
      <c r="F90" s="244"/>
      <c r="G90" s="244"/>
      <c r="H90" s="244"/>
      <c r="I90" s="24"/>
      <c r="J90" s="244"/>
      <c r="K90" s="243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246"/>
      <c r="L91" s="247">
        <v>45780.0</v>
      </c>
      <c r="M91" s="248">
        <v>45811.0</v>
      </c>
      <c r="N91" s="249" t="str">
        <f>IF(TODAY()&gt;M91,"Overdue", IF(I91=0, "Cleared", "Active"))</f>
        <v>Overdue</v>
      </c>
      <c r="O91" s="250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</row>
  </sheetData>
  <autoFilter ref="$A$1:$AB$88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6.25"/>
    <col customWidth="1" min="3" max="3" width="16.75"/>
  </cols>
  <sheetData>
    <row r="1">
      <c r="A1" s="251" t="s">
        <v>1116</v>
      </c>
      <c r="B1" s="251" t="s">
        <v>1117</v>
      </c>
      <c r="C1" s="251" t="s">
        <v>1118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>
      <c r="A2" s="253" t="s">
        <v>1119</v>
      </c>
      <c r="B2" s="253">
        <v>7.4423417E8</v>
      </c>
      <c r="C2" s="253" t="s">
        <v>1120</v>
      </c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>
      <c r="A3" s="254" t="s">
        <v>1121</v>
      </c>
      <c r="B3" s="97">
        <v>7.05576024E8</v>
      </c>
      <c r="C3" s="97" t="s">
        <v>1120</v>
      </c>
    </row>
    <row r="4">
      <c r="A4" s="254" t="s">
        <v>1122</v>
      </c>
      <c r="B4" s="97">
        <v>7.57168493E8</v>
      </c>
      <c r="C4" s="97" t="s">
        <v>1120</v>
      </c>
    </row>
    <row r="5">
      <c r="A5" s="97" t="s">
        <v>1123</v>
      </c>
      <c r="B5" s="97">
        <v>7.02754502E8</v>
      </c>
      <c r="C5" s="97" t="s">
        <v>1120</v>
      </c>
    </row>
    <row r="6">
      <c r="A6" s="97" t="s">
        <v>1124</v>
      </c>
      <c r="B6" s="97">
        <v>7.0741098E8</v>
      </c>
      <c r="C6" s="97" t="s">
        <v>1125</v>
      </c>
    </row>
    <row r="7">
      <c r="A7" s="97" t="s">
        <v>1126</v>
      </c>
      <c r="B7" s="97">
        <v>7.64089401E8</v>
      </c>
      <c r="C7" s="97" t="s">
        <v>1127</v>
      </c>
    </row>
    <row r="8">
      <c r="A8" s="97" t="s">
        <v>1128</v>
      </c>
      <c r="B8" s="97">
        <v>7.57666793E8</v>
      </c>
      <c r="C8" s="97" t="s">
        <v>1129</v>
      </c>
    </row>
    <row r="9">
      <c r="A9" s="97" t="s">
        <v>1130</v>
      </c>
      <c r="B9" s="97">
        <v>7.57566793E8</v>
      </c>
      <c r="C9" s="97" t="s">
        <v>1125</v>
      </c>
    </row>
    <row r="10">
      <c r="A10" s="97" t="s">
        <v>1131</v>
      </c>
      <c r="B10" s="97">
        <v>7.60894554E8</v>
      </c>
      <c r="C10" s="97" t="s">
        <v>1125</v>
      </c>
    </row>
    <row r="11">
      <c r="A11" s="97" t="s">
        <v>1132</v>
      </c>
      <c r="B11" s="97">
        <v>7.44679437E8</v>
      </c>
      <c r="C11" s="97" t="s">
        <v>1125</v>
      </c>
    </row>
    <row r="12">
      <c r="A12" s="97" t="s">
        <v>1133</v>
      </c>
      <c r="B12" s="97">
        <v>7.5447678E8</v>
      </c>
      <c r="C12" s="97" t="s">
        <v>1125</v>
      </c>
    </row>
    <row r="13">
      <c r="A13" s="97" t="s">
        <v>1134</v>
      </c>
      <c r="B13" s="97">
        <v>7.58894085E9</v>
      </c>
      <c r="C13" s="97" t="s">
        <v>1125</v>
      </c>
    </row>
    <row r="14">
      <c r="A14" s="97" t="s">
        <v>1135</v>
      </c>
      <c r="B14" s="97">
        <v>7.0220692E8</v>
      </c>
      <c r="C14" s="97" t="s">
        <v>1125</v>
      </c>
    </row>
    <row r="15">
      <c r="A15" s="97" t="s">
        <v>1136</v>
      </c>
      <c r="B15" s="97">
        <v>7.0114568E8</v>
      </c>
      <c r="C15" s="97" t="s">
        <v>1125</v>
      </c>
    </row>
    <row r="16">
      <c r="A16" s="97" t="s">
        <v>1137</v>
      </c>
      <c r="B16" s="97">
        <v>7.03345601E8</v>
      </c>
      <c r="C16" s="97" t="s">
        <v>1125</v>
      </c>
    </row>
    <row r="17">
      <c r="A17" s="97" t="s">
        <v>1138</v>
      </c>
      <c r="B17" s="97">
        <v>7.2456809E8</v>
      </c>
      <c r="C17" s="97" t="s">
        <v>1125</v>
      </c>
    </row>
    <row r="18">
      <c r="A18" s="97" t="s">
        <v>1139</v>
      </c>
      <c r="B18" s="97">
        <v>7.460894355E9</v>
      </c>
      <c r="C18" s="97" t="s">
        <v>1125</v>
      </c>
    </row>
    <row r="19">
      <c r="A19" s="97" t="s">
        <v>1140</v>
      </c>
      <c r="B19" s="97">
        <v>7.88908051E8</v>
      </c>
      <c r="C19" s="97" t="s">
        <v>1125</v>
      </c>
    </row>
    <row r="20">
      <c r="A20" s="97" t="s">
        <v>1141</v>
      </c>
      <c r="B20" s="97">
        <v>7.87070801E8</v>
      </c>
      <c r="C20" s="97" t="s">
        <v>1125</v>
      </c>
    </row>
    <row r="21">
      <c r="A21" s="97" t="s">
        <v>1142</v>
      </c>
      <c r="B21" s="97">
        <v>7.608408943E9</v>
      </c>
      <c r="C21" s="97" t="s">
        <v>1125</v>
      </c>
    </row>
    <row r="22">
      <c r="A22" s="97" t="s">
        <v>1143</v>
      </c>
      <c r="B22" s="97">
        <v>7.566795578E9</v>
      </c>
      <c r="C22" s="97" t="s">
        <v>911</v>
      </c>
    </row>
    <row r="23">
      <c r="A23" s="97" t="s">
        <v>1144</v>
      </c>
      <c r="B23" s="97">
        <v>7.88907181E8</v>
      </c>
      <c r="C23" s="97" t="s">
        <v>911</v>
      </c>
    </row>
    <row r="24">
      <c r="A24" s="97" t="s">
        <v>1145</v>
      </c>
      <c r="B24" s="97">
        <v>7.60894477E8</v>
      </c>
      <c r="C24" s="97" t="s">
        <v>696</v>
      </c>
    </row>
    <row r="25">
      <c r="A25" s="97" t="s">
        <v>1146</v>
      </c>
      <c r="B25" s="97">
        <v>7.89080893E8</v>
      </c>
      <c r="C25" s="97" t="s">
        <v>696</v>
      </c>
    </row>
    <row r="26">
      <c r="A26" s="97" t="s">
        <v>1147</v>
      </c>
      <c r="B26" s="97">
        <v>7.60894355E8</v>
      </c>
      <c r="C26" s="97" t="s">
        <v>696</v>
      </c>
    </row>
    <row r="27">
      <c r="A27" s="97" t="s">
        <v>1148</v>
      </c>
      <c r="B27" s="97">
        <v>7.5534778E8</v>
      </c>
      <c r="C27" s="97" t="s">
        <v>696</v>
      </c>
    </row>
    <row r="28">
      <c r="A28" s="97" t="s">
        <v>1149</v>
      </c>
      <c r="B28" s="97">
        <v>7.40894355E8</v>
      </c>
      <c r="C28" s="97" t="s">
        <v>696</v>
      </c>
    </row>
    <row r="29">
      <c r="A29" s="97" t="s">
        <v>1150</v>
      </c>
      <c r="B29" s="97">
        <v>7.4575083E7</v>
      </c>
      <c r="C29" s="97" t="s">
        <v>911</v>
      </c>
    </row>
    <row r="30">
      <c r="A30" s="97" t="s">
        <v>1151</v>
      </c>
      <c r="B30" s="97">
        <v>7.566794084E9</v>
      </c>
      <c r="C30" s="97" t="s">
        <v>1152</v>
      </c>
    </row>
    <row r="31">
      <c r="A31" s="97" t="s">
        <v>1153</v>
      </c>
      <c r="B31" s="97">
        <v>7.60494357E8</v>
      </c>
      <c r="C31" s="97" t="s">
        <v>911</v>
      </c>
    </row>
    <row r="32">
      <c r="A32" s="97" t="s">
        <v>1154</v>
      </c>
      <c r="B32" s="97">
        <v>7.404411771E9</v>
      </c>
      <c r="C32" s="97" t="s">
        <v>911</v>
      </c>
    </row>
    <row r="33">
      <c r="A33" s="97" t="s">
        <v>1155</v>
      </c>
      <c r="B33" s="97">
        <v>7.23344631E8</v>
      </c>
      <c r="C33" s="97" t="s">
        <v>911</v>
      </c>
    </row>
    <row r="34">
      <c r="A34" s="97" t="s">
        <v>1156</v>
      </c>
      <c r="B34" s="97">
        <v>7.5757788E7</v>
      </c>
      <c r="C34" s="97" t="s">
        <v>911</v>
      </c>
    </row>
    <row r="35">
      <c r="A35" s="97" t="s">
        <v>1157</v>
      </c>
      <c r="B35" s="97">
        <v>7.6089457E7</v>
      </c>
      <c r="C35" s="97" t="s">
        <v>911</v>
      </c>
    </row>
    <row r="36">
      <c r="A36" s="97" t="s">
        <v>1158</v>
      </c>
      <c r="B36" s="97">
        <v>7.63435372E8</v>
      </c>
      <c r="C36" s="97" t="s">
        <v>911</v>
      </c>
    </row>
    <row r="37">
      <c r="A37" s="97" t="s">
        <v>1159</v>
      </c>
      <c r="B37" s="97">
        <v>7.60848477E8</v>
      </c>
      <c r="C37" s="97" t="s">
        <v>911</v>
      </c>
    </row>
    <row r="38">
      <c r="A38" s="97" t="s">
        <v>1160</v>
      </c>
      <c r="B38" s="97">
        <v>7.56794355E8</v>
      </c>
      <c r="C38" s="97" t="s">
        <v>911</v>
      </c>
    </row>
    <row r="39">
      <c r="A39" s="97" t="s">
        <v>1161</v>
      </c>
      <c r="B39" s="97">
        <v>7.60847141E8</v>
      </c>
      <c r="C39" s="97" t="s">
        <v>911</v>
      </c>
    </row>
    <row r="40">
      <c r="A40" s="97" t="s">
        <v>1162</v>
      </c>
      <c r="B40" s="97">
        <v>7.840417E7</v>
      </c>
      <c r="C40" s="97" t="s">
        <v>911</v>
      </c>
    </row>
    <row r="41">
      <c r="A41" s="97" t="s">
        <v>1163</v>
      </c>
      <c r="B41" s="97">
        <v>7.72413457E8</v>
      </c>
      <c r="C41" s="97" t="s">
        <v>911</v>
      </c>
    </row>
    <row r="42">
      <c r="A42" s="97" t="s">
        <v>1164</v>
      </c>
      <c r="B42" s="97">
        <v>7.60774123E8</v>
      </c>
      <c r="C42" s="97" t="s">
        <v>1165</v>
      </c>
    </row>
    <row r="43">
      <c r="A43" s="97" t="s">
        <v>1166</v>
      </c>
      <c r="B43" s="97">
        <v>7.60894355E8</v>
      </c>
      <c r="C43" s="97" t="s">
        <v>1165</v>
      </c>
    </row>
    <row r="44">
      <c r="A44" s="97" t="s">
        <v>1167</v>
      </c>
      <c r="B44" s="97">
        <v>7.5756794E7</v>
      </c>
      <c r="C44" s="97" t="s">
        <v>1168</v>
      </c>
    </row>
    <row r="45">
      <c r="A45" s="97" t="s">
        <v>1169</v>
      </c>
      <c r="B45" s="97">
        <v>7.68943554E8</v>
      </c>
      <c r="C45" s="97" t="s">
        <v>1168</v>
      </c>
    </row>
    <row r="46">
      <c r="A46" s="97" t="s">
        <v>1170</v>
      </c>
      <c r="B46" s="97">
        <v>7.4445543E7</v>
      </c>
      <c r="C46" s="97" t="s">
        <v>1125</v>
      </c>
    </row>
    <row r="47">
      <c r="A47" s="97" t="s">
        <v>1171</v>
      </c>
      <c r="B47" s="97">
        <v>7.02724502E8</v>
      </c>
      <c r="C47" s="97" t="s">
        <v>1125</v>
      </c>
    </row>
    <row r="48">
      <c r="A48" s="97" t="s">
        <v>1172</v>
      </c>
      <c r="B48" s="97">
        <v>7.06847843E8</v>
      </c>
      <c r="C48" s="97" t="s">
        <v>1125</v>
      </c>
    </row>
    <row r="49">
      <c r="A49" s="97" t="s">
        <v>1173</v>
      </c>
      <c r="B49" s="97">
        <v>7.0741098E8</v>
      </c>
      <c r="C49" s="97" t="s">
        <v>1125</v>
      </c>
    </row>
    <row r="50">
      <c r="A50" s="97" t="s">
        <v>1174</v>
      </c>
      <c r="B50" s="97">
        <v>7.51433964E8</v>
      </c>
      <c r="C50" s="97" t="s">
        <v>1125</v>
      </c>
    </row>
    <row r="51">
      <c r="A51" s="97" t="s">
        <v>1175</v>
      </c>
      <c r="B51" s="97">
        <v>7.5972242E8</v>
      </c>
      <c r="C51" s="97" t="s">
        <v>1176</v>
      </c>
    </row>
    <row r="52">
      <c r="A52" s="97" t="s">
        <v>1177</v>
      </c>
      <c r="B52" s="97">
        <v>7.02050106E8</v>
      </c>
      <c r="C52" s="97" t="s">
        <v>1125</v>
      </c>
    </row>
    <row r="53">
      <c r="A53" s="97" t="s">
        <v>1178</v>
      </c>
      <c r="B53" s="97">
        <v>7.541408029E9</v>
      </c>
      <c r="C53" s="97" t="s">
        <v>1125</v>
      </c>
    </row>
    <row r="54">
      <c r="A54" s="97" t="s">
        <v>1179</v>
      </c>
      <c r="B54" s="97">
        <v>7.01227193E8</v>
      </c>
      <c r="C54" s="97" t="s">
        <v>1125</v>
      </c>
    </row>
    <row r="55">
      <c r="A55" s="97" t="s">
        <v>1180</v>
      </c>
      <c r="B55" s="97">
        <v>7.03822245E8</v>
      </c>
      <c r="C55" s="97" t="s">
        <v>1125</v>
      </c>
    </row>
    <row r="56">
      <c r="A56" s="97" t="s">
        <v>1181</v>
      </c>
      <c r="B56" s="97">
        <v>7.04497044E8</v>
      </c>
      <c r="C56" s="97" t="s">
        <v>1125</v>
      </c>
    </row>
    <row r="57">
      <c r="A57" s="97" t="s">
        <v>1182</v>
      </c>
      <c r="B57" s="97">
        <v>7.689435541E9</v>
      </c>
      <c r="C57" s="97" t="s">
        <v>1125</v>
      </c>
    </row>
    <row r="58">
      <c r="A58" s="97" t="s">
        <v>1183</v>
      </c>
      <c r="B58" s="97">
        <v>7.84377801E8</v>
      </c>
      <c r="C58" s="97" t="s">
        <v>1125</v>
      </c>
    </row>
    <row r="59">
      <c r="A59" s="97" t="s">
        <v>1184</v>
      </c>
      <c r="B59" s="97">
        <v>7.41775543E8</v>
      </c>
      <c r="C59" s="97" t="s">
        <v>1125</v>
      </c>
    </row>
    <row r="60">
      <c r="A60" s="97" t="s">
        <v>1185</v>
      </c>
      <c r="B60" s="97">
        <v>7.566804123E9</v>
      </c>
      <c r="C60" s="97" t="s">
        <v>1125</v>
      </c>
    </row>
    <row r="61">
      <c r="A61" s="97" t="s">
        <v>1186</v>
      </c>
      <c r="B61" s="97">
        <v>7.60894355E8</v>
      </c>
      <c r="C61" s="97" t="s">
        <v>1125</v>
      </c>
    </row>
    <row r="62">
      <c r="A62" s="97" t="s">
        <v>1187</v>
      </c>
      <c r="B62" s="97">
        <v>7.56794551E8</v>
      </c>
      <c r="C62" s="97" t="s">
        <v>1188</v>
      </c>
    </row>
    <row r="63">
      <c r="A63" s="97" t="s">
        <v>1189</v>
      </c>
      <c r="B63" s="97">
        <v>7.47766793E8</v>
      </c>
      <c r="C63" s="97" t="s">
        <v>1188</v>
      </c>
    </row>
    <row r="64">
      <c r="A64" s="97" t="s">
        <v>1190</v>
      </c>
      <c r="B64" s="97">
        <v>7.24355431E8</v>
      </c>
      <c r="C64" s="97" t="s">
        <v>1188</v>
      </c>
    </row>
    <row r="65">
      <c r="A65" s="97" t="s">
        <v>1191</v>
      </c>
      <c r="B65" s="97">
        <v>7.14133431E8</v>
      </c>
      <c r="C65" s="97" t="s">
        <v>1188</v>
      </c>
    </row>
    <row r="66">
      <c r="A66" s="97" t="s">
        <v>1192</v>
      </c>
      <c r="B66" s="97">
        <v>7.57070663E8</v>
      </c>
      <c r="C66" s="97" t="s">
        <v>1188</v>
      </c>
    </row>
    <row r="67">
      <c r="A67" s="97" t="s">
        <v>1193</v>
      </c>
      <c r="B67" s="97">
        <v>7.56089435E8</v>
      </c>
      <c r="C67" s="97" t="s">
        <v>1188</v>
      </c>
    </row>
    <row r="68">
      <c r="A68" s="97" t="s">
        <v>1194</v>
      </c>
      <c r="B68" s="97">
        <v>7.580945513E9</v>
      </c>
      <c r="C68" s="97" t="s">
        <v>1188</v>
      </c>
    </row>
    <row r="69">
      <c r="A69" s="97" t="s">
        <v>1195</v>
      </c>
      <c r="B69" s="97">
        <v>7.5276907E8</v>
      </c>
      <c r="C69" s="97" t="s">
        <v>1188</v>
      </c>
    </row>
    <row r="70">
      <c r="A70" s="97" t="s">
        <v>1196</v>
      </c>
      <c r="B70" s="97">
        <v>7.60844355E8</v>
      </c>
      <c r="C70" s="97" t="s">
        <v>1188</v>
      </c>
    </row>
    <row r="71">
      <c r="A71" s="97" t="s">
        <v>1197</v>
      </c>
      <c r="B71" s="97">
        <v>7.02945233E9</v>
      </c>
      <c r="C71" s="97" t="s">
        <v>1188</v>
      </c>
    </row>
    <row r="72">
      <c r="A72" s="97" t="s">
        <v>1198</v>
      </c>
      <c r="B72" s="97">
        <v>7.050179E8</v>
      </c>
      <c r="C72" s="97" t="s">
        <v>1188</v>
      </c>
    </row>
    <row r="73">
      <c r="A73" s="97" t="s">
        <v>1199</v>
      </c>
      <c r="B73" s="97">
        <v>7.55061726E8</v>
      </c>
      <c r="C73" s="97" t="s">
        <v>1188</v>
      </c>
    </row>
    <row r="74">
      <c r="A74" s="97" t="s">
        <v>1200</v>
      </c>
      <c r="B74" s="97">
        <v>7.0070109E8</v>
      </c>
      <c r="C74" s="97" t="s">
        <v>1188</v>
      </c>
    </row>
    <row r="75">
      <c r="A75" s="97" t="s">
        <v>1201</v>
      </c>
      <c r="B75" s="97">
        <v>7.0136483E8</v>
      </c>
      <c r="C75" s="97" t="s">
        <v>1188</v>
      </c>
    </row>
    <row r="76">
      <c r="A76" s="97" t="s">
        <v>1202</v>
      </c>
      <c r="B76" s="97">
        <v>7.40098529E8</v>
      </c>
      <c r="C76" s="97" t="s">
        <v>1188</v>
      </c>
    </row>
    <row r="77">
      <c r="A77" s="97" t="s">
        <v>1203</v>
      </c>
      <c r="B77" s="97">
        <v>7.06746352E8</v>
      </c>
      <c r="C77" s="97" t="s">
        <v>1188</v>
      </c>
    </row>
    <row r="78">
      <c r="A78" s="97" t="s">
        <v>1204</v>
      </c>
      <c r="B78" s="97">
        <v>7.53785263E8</v>
      </c>
      <c r="C78" s="97" t="s">
        <v>1188</v>
      </c>
    </row>
    <row r="79">
      <c r="A79" s="97" t="s">
        <v>1205</v>
      </c>
      <c r="B79" s="97">
        <v>7.040405717E9</v>
      </c>
      <c r="C79" s="97" t="s">
        <v>1188</v>
      </c>
    </row>
    <row r="80">
      <c r="A80" s="97" t="s">
        <v>1206</v>
      </c>
      <c r="B80" s="97">
        <v>7.05191571E8</v>
      </c>
      <c r="C80" s="97" t="s">
        <v>1188</v>
      </c>
    </row>
    <row r="81">
      <c r="A81" s="97" t="s">
        <v>1207</v>
      </c>
      <c r="B81" s="97">
        <v>7.46044794E8</v>
      </c>
      <c r="C81" s="97" t="s">
        <v>1188</v>
      </c>
    </row>
    <row r="82">
      <c r="A82" s="97" t="s">
        <v>1208</v>
      </c>
      <c r="B82" s="97">
        <v>7.5776794E7</v>
      </c>
      <c r="C82" s="97" t="s">
        <v>1125</v>
      </c>
    </row>
    <row r="83">
      <c r="A83" s="97" t="s">
        <v>1209</v>
      </c>
      <c r="B83" s="97">
        <v>7.5551756E7</v>
      </c>
      <c r="C83" s="97" t="s">
        <v>696</v>
      </c>
    </row>
    <row r="84">
      <c r="A84" s="97" t="s">
        <v>1210</v>
      </c>
      <c r="B84" s="97">
        <v>7.52409391E8</v>
      </c>
      <c r="C84" s="97" t="s">
        <v>1211</v>
      </c>
    </row>
    <row r="85">
      <c r="A85" s="97" t="s">
        <v>1212</v>
      </c>
      <c r="B85" s="97">
        <v>7.44765041E8</v>
      </c>
      <c r="C85" s="97" t="s">
        <v>1211</v>
      </c>
    </row>
    <row r="86">
      <c r="A86" s="97" t="s">
        <v>1213</v>
      </c>
      <c r="B86" s="97">
        <v>7.60894466E8</v>
      </c>
      <c r="C86" s="97" t="s">
        <v>1211</v>
      </c>
    </row>
    <row r="87">
      <c r="A87" s="97" t="s">
        <v>1214</v>
      </c>
      <c r="B87" s="97">
        <v>7.6069554E8</v>
      </c>
      <c r="C87" s="97" t="s">
        <v>1211</v>
      </c>
    </row>
    <row r="88">
      <c r="A88" s="97" t="s">
        <v>1215</v>
      </c>
      <c r="B88" s="97">
        <v>7.4078404E8</v>
      </c>
      <c r="C88" s="97" t="s">
        <v>1211</v>
      </c>
    </row>
    <row r="89">
      <c r="A89" s="97" t="s">
        <v>1216</v>
      </c>
      <c r="B89" s="97">
        <v>7.566354091E9</v>
      </c>
      <c r="C89" s="97" t="s">
        <v>1211</v>
      </c>
    </row>
    <row r="90">
      <c r="A90" s="97" t="s">
        <v>1217</v>
      </c>
      <c r="B90" s="97">
        <v>7.40808011E8</v>
      </c>
      <c r="C90" s="97" t="s">
        <v>1211</v>
      </c>
    </row>
    <row r="91">
      <c r="A91" s="97" t="s">
        <v>1218</v>
      </c>
      <c r="B91" s="97">
        <v>7.8840504E8</v>
      </c>
      <c r="C91" s="97" t="s">
        <v>1211</v>
      </c>
    </row>
    <row r="92">
      <c r="A92" s="97" t="s">
        <v>1219</v>
      </c>
      <c r="B92" s="97">
        <v>7.4080104E8</v>
      </c>
      <c r="C92" s="97" t="s">
        <v>1211</v>
      </c>
    </row>
    <row r="93">
      <c r="A93" s="97" t="s">
        <v>1220</v>
      </c>
      <c r="B93" s="97">
        <v>7.54087019E8</v>
      </c>
      <c r="C93" s="97" t="s">
        <v>1211</v>
      </c>
    </row>
    <row r="94">
      <c r="A94" s="97" t="s">
        <v>1221</v>
      </c>
      <c r="B94" s="97">
        <v>7.8840808E8</v>
      </c>
      <c r="C94" s="97" t="s">
        <v>1211</v>
      </c>
    </row>
    <row r="95">
      <c r="A95" s="97" t="s">
        <v>1222</v>
      </c>
      <c r="B95" s="97">
        <v>7.6030402E8</v>
      </c>
      <c r="C95" s="97" t="s">
        <v>1211</v>
      </c>
    </row>
    <row r="96">
      <c r="A96" s="97" t="s">
        <v>1223</v>
      </c>
      <c r="B96" s="97">
        <v>7.45089402E8</v>
      </c>
      <c r="C96" s="97" t="s">
        <v>1211</v>
      </c>
    </row>
    <row r="97">
      <c r="A97" s="97" t="s">
        <v>1224</v>
      </c>
      <c r="B97" s="97">
        <v>7.5534546E8</v>
      </c>
      <c r="C97" s="97" t="s">
        <v>1211</v>
      </c>
    </row>
    <row r="98">
      <c r="A98" s="97" t="s">
        <v>1225</v>
      </c>
      <c r="B98" s="97">
        <v>7.68746678E8</v>
      </c>
      <c r="C98" s="97" t="s">
        <v>1211</v>
      </c>
    </row>
    <row r="99">
      <c r="A99" s="97" t="s">
        <v>1226</v>
      </c>
      <c r="B99" s="97">
        <v>7.56566794E8</v>
      </c>
      <c r="C99" s="97" t="s">
        <v>1211</v>
      </c>
    </row>
    <row r="100">
      <c r="A100" s="97" t="s">
        <v>1227</v>
      </c>
      <c r="B100" s="97">
        <v>7.4479411E7</v>
      </c>
      <c r="C100" s="97" t="s">
        <v>1211</v>
      </c>
    </row>
    <row r="101">
      <c r="A101" s="97" t="s">
        <v>1228</v>
      </c>
      <c r="B101" s="97">
        <v>7.60894355E8</v>
      </c>
      <c r="C101" s="97" t="s">
        <v>1211</v>
      </c>
    </row>
    <row r="102">
      <c r="A102" s="97" t="s">
        <v>1229</v>
      </c>
      <c r="B102" s="97">
        <v>7.54792342E8</v>
      </c>
      <c r="C102" s="97" t="s">
        <v>912</v>
      </c>
    </row>
    <row r="103">
      <c r="A103" s="97" t="s">
        <v>1230</v>
      </c>
      <c r="B103" s="97">
        <v>7.54792347E8</v>
      </c>
      <c r="C103" s="97" t="s">
        <v>912</v>
      </c>
    </row>
    <row r="104">
      <c r="A104" s="97" t="s">
        <v>1231</v>
      </c>
      <c r="B104" s="97">
        <v>7.62474554E8</v>
      </c>
      <c r="C104" s="97" t="s">
        <v>1232</v>
      </c>
    </row>
    <row r="105">
      <c r="A105" s="97" t="s">
        <v>1233</v>
      </c>
      <c r="B105" s="97">
        <v>7.09906669E8</v>
      </c>
      <c r="C105" s="97" t="s">
        <v>1232</v>
      </c>
    </row>
    <row r="106">
      <c r="A106" s="97" t="s">
        <v>1234</v>
      </c>
      <c r="B106" s="97">
        <v>7.44332312E8</v>
      </c>
      <c r="C106" s="97" t="s">
        <v>1232</v>
      </c>
    </row>
    <row r="107">
      <c r="A107" s="97" t="s">
        <v>1235</v>
      </c>
      <c r="B107" s="97">
        <v>7.56093654E8</v>
      </c>
      <c r="C107" s="97" t="s">
        <v>1232</v>
      </c>
    </row>
    <row r="108">
      <c r="A108" s="97" t="s">
        <v>1236</v>
      </c>
      <c r="B108" s="97">
        <v>7.62992123E8</v>
      </c>
      <c r="C108" s="97" t="s">
        <v>1232</v>
      </c>
    </row>
    <row r="109">
      <c r="A109" s="97" t="s">
        <v>1237</v>
      </c>
      <c r="B109" s="97">
        <v>7.03827625E8</v>
      </c>
      <c r="C109" s="97" t="s">
        <v>1232</v>
      </c>
    </row>
    <row r="110">
      <c r="A110" s="97" t="s">
        <v>1238</v>
      </c>
      <c r="B110" s="97">
        <v>7.42760327E8</v>
      </c>
      <c r="C110" s="97" t="s">
        <v>1239</v>
      </c>
    </row>
    <row r="111">
      <c r="A111" s="97" t="s">
        <v>1240</v>
      </c>
      <c r="B111" s="97">
        <v>7.57907614E8</v>
      </c>
      <c r="C111" s="97" t="s">
        <v>727</v>
      </c>
    </row>
    <row r="112">
      <c r="A112" s="97" t="s">
        <v>1241</v>
      </c>
      <c r="B112" s="97">
        <v>7.67321087E8</v>
      </c>
      <c r="C112" s="97" t="s">
        <v>1242</v>
      </c>
    </row>
    <row r="113">
      <c r="A113" s="97" t="s">
        <v>1243</v>
      </c>
      <c r="B113" s="97">
        <v>7.71849067E8</v>
      </c>
      <c r="C113" s="97" t="s">
        <v>713</v>
      </c>
    </row>
    <row r="114">
      <c r="A114" s="97" t="s">
        <v>1244</v>
      </c>
      <c r="B114" s="97">
        <v>7.04785825E8</v>
      </c>
      <c r="C114" s="97" t="s">
        <v>713</v>
      </c>
    </row>
    <row r="115">
      <c r="A115" s="97" t="s">
        <v>1245</v>
      </c>
      <c r="B115" s="97">
        <v>7.60714311E8</v>
      </c>
      <c r="C115" s="97" t="s">
        <v>713</v>
      </c>
    </row>
    <row r="116">
      <c r="A116" s="97" t="s">
        <v>1246</v>
      </c>
      <c r="B116" s="97">
        <v>7.72708674E8</v>
      </c>
      <c r="C116" s="97" t="s">
        <v>713</v>
      </c>
    </row>
    <row r="117">
      <c r="A117" s="97" t="s">
        <v>1247</v>
      </c>
      <c r="B117" s="97">
        <v>7.46676211E8</v>
      </c>
      <c r="C117" s="97" t="s">
        <v>713</v>
      </c>
    </row>
    <row r="118">
      <c r="A118" s="97" t="s">
        <v>1248</v>
      </c>
      <c r="B118" s="97">
        <v>7.82236879E8</v>
      </c>
      <c r="C118" s="97" t="s">
        <v>713</v>
      </c>
    </row>
    <row r="119">
      <c r="A119" s="97" t="s">
        <v>1249</v>
      </c>
      <c r="B119" s="97">
        <v>7.82236879E8</v>
      </c>
      <c r="C119" s="97" t="s">
        <v>713</v>
      </c>
    </row>
    <row r="120">
      <c r="A120" s="97" t="s">
        <v>1250</v>
      </c>
      <c r="B120" s="97">
        <v>7.40940443E8</v>
      </c>
      <c r="C120" s="97" t="s">
        <v>713</v>
      </c>
    </row>
    <row r="121">
      <c r="A121" s="97" t="s">
        <v>1251</v>
      </c>
      <c r="B121" s="97">
        <v>7.79243361E8</v>
      </c>
      <c r="C121" s="97" t="s">
        <v>713</v>
      </c>
    </row>
    <row r="122">
      <c r="A122" s="97" t="s">
        <v>1252</v>
      </c>
      <c r="B122" s="97">
        <v>7.43019238E8</v>
      </c>
      <c r="C122" s="97" t="s">
        <v>713</v>
      </c>
    </row>
    <row r="123">
      <c r="A123" s="97" t="s">
        <v>1253</v>
      </c>
      <c r="B123" s="97">
        <v>7.79881188E8</v>
      </c>
      <c r="C123" s="97" t="s">
        <v>713</v>
      </c>
    </row>
    <row r="124">
      <c r="A124" s="97" t="s">
        <v>1254</v>
      </c>
      <c r="B124" s="97">
        <v>7.76565804E8</v>
      </c>
      <c r="C124" s="97" t="s">
        <v>713</v>
      </c>
    </row>
    <row r="125">
      <c r="A125" s="97" t="s">
        <v>1255</v>
      </c>
      <c r="B125" s="97">
        <v>7.52788523E8</v>
      </c>
      <c r="C125" s="97" t="s">
        <v>713</v>
      </c>
    </row>
    <row r="126">
      <c r="A126" s="97" t="s">
        <v>1256</v>
      </c>
      <c r="B126" s="97">
        <v>7.7580669E8</v>
      </c>
      <c r="C126" s="97" t="s">
        <v>713</v>
      </c>
    </row>
    <row r="127">
      <c r="A127" s="97" t="s">
        <v>1257</v>
      </c>
      <c r="B127" s="97">
        <v>7.8523067E8</v>
      </c>
      <c r="C127" s="97" t="s">
        <v>1258</v>
      </c>
    </row>
    <row r="128">
      <c r="A128" s="97" t="s">
        <v>1259</v>
      </c>
      <c r="B128" s="97">
        <v>7.58678295E8</v>
      </c>
      <c r="C128" s="97" t="s">
        <v>1258</v>
      </c>
    </row>
    <row r="129">
      <c r="A129" s="97" t="s">
        <v>1260</v>
      </c>
      <c r="B129" s="97">
        <v>7.97342148E8</v>
      </c>
      <c r="C129" s="97" t="s">
        <v>1258</v>
      </c>
    </row>
    <row r="130">
      <c r="A130" s="97" t="s">
        <v>1261</v>
      </c>
      <c r="B130" s="97">
        <v>7.52362557E8</v>
      </c>
      <c r="C130" s="97" t="s">
        <v>1258</v>
      </c>
    </row>
    <row r="131">
      <c r="A131" s="97" t="s">
        <v>1262</v>
      </c>
      <c r="B131" s="97">
        <v>7.74151483E8</v>
      </c>
      <c r="C131" s="97" t="s">
        <v>1258</v>
      </c>
    </row>
    <row r="132">
      <c r="A132" s="97" t="s">
        <v>1263</v>
      </c>
      <c r="B132" s="97">
        <v>7.83041446E8</v>
      </c>
      <c r="C132" s="97" t="s">
        <v>1258</v>
      </c>
    </row>
    <row r="133">
      <c r="A133" s="97" t="s">
        <v>1264</v>
      </c>
      <c r="B133" s="97">
        <v>7.77215791E8</v>
      </c>
      <c r="C133" s="97" t="s">
        <v>1258</v>
      </c>
    </row>
    <row r="134">
      <c r="A134" s="97" t="s">
        <v>1265</v>
      </c>
      <c r="B134" s="97">
        <v>7.54109496E8</v>
      </c>
      <c r="C134" s="97" t="s">
        <v>1258</v>
      </c>
    </row>
    <row r="135">
      <c r="A135" s="97" t="s">
        <v>1266</v>
      </c>
      <c r="B135" s="97">
        <v>7.06048454E8</v>
      </c>
      <c r="C135" s="97" t="s">
        <v>1258</v>
      </c>
    </row>
    <row r="136">
      <c r="A136" s="97" t="s">
        <v>1267</v>
      </c>
      <c r="B136" s="97">
        <v>7.73032585E8</v>
      </c>
      <c r="C136" s="97" t="s">
        <v>1258</v>
      </c>
    </row>
    <row r="137">
      <c r="A137" s="97" t="s">
        <v>1268</v>
      </c>
      <c r="B137" s="97">
        <v>7.08541598E8</v>
      </c>
      <c r="C137" s="97" t="s">
        <v>1258</v>
      </c>
    </row>
    <row r="138">
      <c r="A138" s="97" t="s">
        <v>1269</v>
      </c>
      <c r="B138" s="97">
        <v>7.71884495E8</v>
      </c>
      <c r="C138" s="97" t="s">
        <v>1258</v>
      </c>
    </row>
    <row r="139">
      <c r="A139" s="97" t="s">
        <v>1270</v>
      </c>
      <c r="B139" s="97">
        <v>7.79475472E8</v>
      </c>
      <c r="C139" s="97" t="s">
        <v>1258</v>
      </c>
    </row>
    <row r="140">
      <c r="A140" s="97" t="s">
        <v>1271</v>
      </c>
      <c r="B140" s="97">
        <v>7.72379357E8</v>
      </c>
      <c r="C140" s="97" t="s">
        <v>1272</v>
      </c>
    </row>
    <row r="141">
      <c r="A141" s="97" t="s">
        <v>1273</v>
      </c>
      <c r="B141" s="97">
        <v>7.57769816E8</v>
      </c>
      <c r="C141" s="97" t="s">
        <v>1272</v>
      </c>
    </row>
    <row r="142">
      <c r="A142" s="97" t="s">
        <v>1274</v>
      </c>
      <c r="B142" s="97">
        <v>7.02119918E8</v>
      </c>
      <c r="C142" s="97" t="s">
        <v>1272</v>
      </c>
    </row>
    <row r="143">
      <c r="A143" s="97" t="s">
        <v>1275</v>
      </c>
      <c r="B143" s="97">
        <v>7.01628122E8</v>
      </c>
      <c r="C143" s="97" t="s">
        <v>1272</v>
      </c>
    </row>
    <row r="144">
      <c r="A144" s="97" t="s">
        <v>1276</v>
      </c>
      <c r="B144" s="97">
        <v>7.72744954E8</v>
      </c>
      <c r="C144" s="97" t="s">
        <v>1272</v>
      </c>
    </row>
    <row r="145">
      <c r="A145" s="97" t="s">
        <v>1277</v>
      </c>
      <c r="B145" s="97">
        <v>7.04109518E8</v>
      </c>
      <c r="C145" s="97" t="s">
        <v>1272</v>
      </c>
    </row>
    <row r="146">
      <c r="A146" s="97" t="s">
        <v>1278</v>
      </c>
      <c r="B146" s="97">
        <v>7.82009333E8</v>
      </c>
      <c r="C146" s="97" t="s">
        <v>1272</v>
      </c>
    </row>
    <row r="147">
      <c r="A147" s="97" t="s">
        <v>1279</v>
      </c>
      <c r="B147" s="97">
        <v>7.55709163E8</v>
      </c>
      <c r="C147" s="97" t="s">
        <v>1272</v>
      </c>
    </row>
    <row r="148">
      <c r="A148" s="97" t="s">
        <v>1280</v>
      </c>
      <c r="B148" s="97">
        <v>7.05971993E8</v>
      </c>
      <c r="C148" s="97" t="s">
        <v>1272</v>
      </c>
    </row>
    <row r="149">
      <c r="A149" s="97" t="s">
        <v>1281</v>
      </c>
      <c r="B149" s="97">
        <v>7.01241221E8</v>
      </c>
      <c r="C149" s="97" t="s">
        <v>1272</v>
      </c>
    </row>
    <row r="150">
      <c r="A150" s="97" t="s">
        <v>1282</v>
      </c>
      <c r="B150" s="97">
        <v>7.74980103E8</v>
      </c>
      <c r="C150" s="97" t="s">
        <v>1272</v>
      </c>
    </row>
    <row r="151">
      <c r="A151" s="97" t="s">
        <v>1283</v>
      </c>
      <c r="B151" s="97">
        <v>7.78980103E8</v>
      </c>
      <c r="C151" s="97" t="s">
        <v>1272</v>
      </c>
    </row>
    <row r="152">
      <c r="A152" s="97" t="s">
        <v>1284</v>
      </c>
      <c r="B152" s="97">
        <v>7.03924948E8</v>
      </c>
      <c r="C152" s="97" t="s">
        <v>1272</v>
      </c>
    </row>
    <row r="153">
      <c r="A153" s="97" t="s">
        <v>1285</v>
      </c>
      <c r="B153" s="97">
        <v>7.5575472E8</v>
      </c>
      <c r="C153" s="97" t="s">
        <v>1272</v>
      </c>
    </row>
    <row r="154">
      <c r="A154" s="97" t="s">
        <v>1286</v>
      </c>
      <c r="B154" s="97">
        <v>7.72503521E8</v>
      </c>
      <c r="C154" s="97" t="s">
        <v>1272</v>
      </c>
    </row>
    <row r="155">
      <c r="A155" s="97" t="s">
        <v>1287</v>
      </c>
      <c r="B155" s="97">
        <v>7.03224676E8</v>
      </c>
      <c r="C155" s="97" t="s">
        <v>1272</v>
      </c>
    </row>
    <row r="156">
      <c r="A156" s="97" t="s">
        <v>1288</v>
      </c>
      <c r="B156" s="97">
        <v>7.5163876E8</v>
      </c>
      <c r="C156" s="97" t="s">
        <v>1272</v>
      </c>
    </row>
    <row r="157">
      <c r="A157" s="97" t="s">
        <v>1289</v>
      </c>
      <c r="B157" s="97">
        <v>7.7263876E8</v>
      </c>
      <c r="C157" s="97" t="s">
        <v>1272</v>
      </c>
    </row>
    <row r="158">
      <c r="A158" s="97" t="s">
        <v>1290</v>
      </c>
      <c r="B158" s="97">
        <v>7.76597009E8</v>
      </c>
      <c r="C158" s="97" t="s">
        <v>1272</v>
      </c>
    </row>
    <row r="159">
      <c r="A159" s="97" t="s">
        <v>1291</v>
      </c>
      <c r="B159" s="97">
        <v>7.02653977E8</v>
      </c>
      <c r="C159" s="97" t="s">
        <v>1272</v>
      </c>
    </row>
    <row r="160">
      <c r="A160" s="97" t="s">
        <v>1292</v>
      </c>
      <c r="B160" s="97">
        <v>7.51116522E8</v>
      </c>
      <c r="C160" s="97" t="s">
        <v>1272</v>
      </c>
    </row>
    <row r="161">
      <c r="A161" s="97" t="s">
        <v>1293</v>
      </c>
      <c r="B161" s="97">
        <v>7.04910257E8</v>
      </c>
      <c r="C161" s="97" t="s">
        <v>1294</v>
      </c>
    </row>
    <row r="162">
      <c r="A162" s="97" t="s">
        <v>1295</v>
      </c>
      <c r="B162" s="97">
        <v>7.08542348E8</v>
      </c>
      <c r="C162" s="97" t="s">
        <v>1272</v>
      </c>
    </row>
    <row r="163">
      <c r="A163" s="97" t="s">
        <v>1296</v>
      </c>
      <c r="B163" s="97">
        <v>7.00436575E8</v>
      </c>
      <c r="C163" s="97" t="s">
        <v>1272</v>
      </c>
    </row>
    <row r="164">
      <c r="A164" s="97" t="s">
        <v>1297</v>
      </c>
      <c r="B164" s="97">
        <v>7.72832002E8</v>
      </c>
      <c r="C164" s="97" t="s">
        <v>1298</v>
      </c>
    </row>
    <row r="165">
      <c r="A165" s="97" t="s">
        <v>1299</v>
      </c>
      <c r="B165" s="97">
        <v>7.7304747E8</v>
      </c>
      <c r="C165" s="97" t="s">
        <v>1298</v>
      </c>
    </row>
    <row r="166">
      <c r="A166" s="97" t="s">
        <v>1300</v>
      </c>
      <c r="B166" s="97">
        <v>7.00437155E8</v>
      </c>
      <c r="C166" s="97" t="s">
        <v>1298</v>
      </c>
    </row>
    <row r="167">
      <c r="A167" s="97" t="s">
        <v>1301</v>
      </c>
      <c r="B167" s="97">
        <v>7.72832002E8</v>
      </c>
      <c r="C167" s="97" t="s">
        <v>1302</v>
      </c>
    </row>
    <row r="168">
      <c r="A168" s="97" t="s">
        <v>1303</v>
      </c>
      <c r="B168" s="97">
        <v>7.73048291E8</v>
      </c>
      <c r="C168" s="97" t="s">
        <v>1298</v>
      </c>
    </row>
    <row r="169">
      <c r="A169" s="97" t="s">
        <v>1304</v>
      </c>
      <c r="B169" s="97">
        <v>7.70073156E8</v>
      </c>
      <c r="C169" s="97" t="s">
        <v>1298</v>
      </c>
    </row>
    <row r="170">
      <c r="A170" s="97" t="s">
        <v>1305</v>
      </c>
      <c r="B170" s="97">
        <v>7.7304747E8</v>
      </c>
      <c r="C170" s="97" t="s">
        <v>1298</v>
      </c>
    </row>
    <row r="171">
      <c r="A171" s="97" t="s">
        <v>1306</v>
      </c>
      <c r="B171" s="97">
        <v>7.7304747E8</v>
      </c>
      <c r="C171" s="97" t="s">
        <v>1298</v>
      </c>
    </row>
    <row r="172">
      <c r="A172" s="97" t="s">
        <v>1307</v>
      </c>
      <c r="B172" s="97">
        <v>7.72857002E8</v>
      </c>
      <c r="C172" s="97" t="s">
        <v>1298</v>
      </c>
    </row>
    <row r="173">
      <c r="A173" s="97" t="s">
        <v>1308</v>
      </c>
      <c r="B173" s="97">
        <v>7.72857002E8</v>
      </c>
      <c r="C173" s="97" t="s">
        <v>1298</v>
      </c>
    </row>
    <row r="174">
      <c r="A174" s="97" t="s">
        <v>1309</v>
      </c>
      <c r="B174" s="97">
        <v>7.78187901E8</v>
      </c>
      <c r="C174" s="97" t="s">
        <v>1298</v>
      </c>
    </row>
    <row r="175">
      <c r="A175" s="97" t="s">
        <v>1310</v>
      </c>
      <c r="B175" s="97">
        <v>7.7163573E8</v>
      </c>
      <c r="C175" s="97" t="s">
        <v>1298</v>
      </c>
    </row>
    <row r="176">
      <c r="A176" s="97" t="s">
        <v>1311</v>
      </c>
      <c r="B176" s="97">
        <v>7.81885151E8</v>
      </c>
      <c r="C176" s="97" t="s">
        <v>1298</v>
      </c>
    </row>
    <row r="177">
      <c r="A177" s="97" t="s">
        <v>1312</v>
      </c>
      <c r="B177" s="97">
        <v>7.74983889E8</v>
      </c>
      <c r="C177" s="97" t="s">
        <v>1298</v>
      </c>
    </row>
    <row r="178">
      <c r="A178" s="97" t="s">
        <v>1313</v>
      </c>
      <c r="B178" s="97">
        <v>7.74983889E8</v>
      </c>
      <c r="C178" s="97" t="s">
        <v>1298</v>
      </c>
    </row>
    <row r="179">
      <c r="A179" s="97" t="s">
        <v>1314</v>
      </c>
      <c r="B179" s="97">
        <v>7.72760504E8</v>
      </c>
      <c r="C179" s="97" t="s">
        <v>1298</v>
      </c>
    </row>
    <row r="180">
      <c r="A180" s="97" t="s">
        <v>1315</v>
      </c>
      <c r="B180" s="97">
        <v>7.72760504E8</v>
      </c>
      <c r="C180" s="97" t="s">
        <v>1298</v>
      </c>
    </row>
    <row r="181">
      <c r="A181" s="97" t="s">
        <v>1316</v>
      </c>
      <c r="B181" s="97">
        <v>7.51086536E8</v>
      </c>
      <c r="C181" s="97" t="s">
        <v>1298</v>
      </c>
    </row>
    <row r="182">
      <c r="A182" s="97" t="s">
        <v>1317</v>
      </c>
      <c r="B182" s="97">
        <v>7.7188247E7</v>
      </c>
      <c r="C182" s="97" t="s">
        <v>1298</v>
      </c>
    </row>
    <row r="183">
      <c r="A183" s="97" t="s">
        <v>1318</v>
      </c>
      <c r="B183" s="97">
        <v>7.7246121E8</v>
      </c>
      <c r="C183" s="97" t="s">
        <v>1298</v>
      </c>
    </row>
    <row r="184">
      <c r="A184" s="97" t="s">
        <v>1319</v>
      </c>
      <c r="B184" s="97">
        <v>7.85314449E8</v>
      </c>
      <c r="C184" s="97" t="s">
        <v>1298</v>
      </c>
    </row>
    <row r="185">
      <c r="A185" s="97" t="s">
        <v>1320</v>
      </c>
      <c r="B185" s="97">
        <v>7.76283733E8</v>
      </c>
      <c r="C185" s="97" t="s">
        <v>1298</v>
      </c>
    </row>
    <row r="186">
      <c r="A186" s="97" t="s">
        <v>1321</v>
      </c>
      <c r="B186" s="97">
        <v>7.82048948E8</v>
      </c>
      <c r="C186" s="97" t="s">
        <v>1298</v>
      </c>
    </row>
    <row r="187">
      <c r="A187" s="97" t="s">
        <v>1322</v>
      </c>
      <c r="B187" s="97">
        <v>7.77244379E8</v>
      </c>
      <c r="C187" s="97" t="s">
        <v>1298</v>
      </c>
    </row>
    <row r="188">
      <c r="A188" s="97" t="s">
        <v>1323</v>
      </c>
      <c r="B188" s="97">
        <v>7.80630296E8</v>
      </c>
      <c r="C188" s="97" t="s">
        <v>1298</v>
      </c>
    </row>
    <row r="189">
      <c r="A189" s="97" t="s">
        <v>1324</v>
      </c>
      <c r="B189" s="97">
        <v>7.73083791E8</v>
      </c>
      <c r="C189" s="97" t="s">
        <v>1325</v>
      </c>
    </row>
    <row r="190">
      <c r="A190" s="97" t="s">
        <v>1326</v>
      </c>
      <c r="B190" s="97">
        <v>7.7433827E8</v>
      </c>
      <c r="C190" s="97" t="s">
        <v>1325</v>
      </c>
    </row>
    <row r="191">
      <c r="A191" s="97" t="s">
        <v>1327</v>
      </c>
      <c r="B191" s="97">
        <v>7.75365757E8</v>
      </c>
      <c r="C191" s="97" t="s">
        <v>1325</v>
      </c>
    </row>
    <row r="192">
      <c r="A192" s="97" t="s">
        <v>1328</v>
      </c>
      <c r="B192" s="97">
        <v>7.7659718E8</v>
      </c>
      <c r="C192" s="97" t="s">
        <v>1325</v>
      </c>
    </row>
    <row r="193">
      <c r="A193" s="97" t="s">
        <v>1329</v>
      </c>
      <c r="B193" s="97">
        <v>7.5365757E7</v>
      </c>
      <c r="C193" s="97" t="s">
        <v>1325</v>
      </c>
    </row>
    <row r="194">
      <c r="A194" s="97" t="s">
        <v>1330</v>
      </c>
      <c r="B194" s="97">
        <v>7.84981218E8</v>
      </c>
      <c r="C194" s="97" t="s">
        <v>1325</v>
      </c>
    </row>
    <row r="195">
      <c r="A195" s="97" t="s">
        <v>1331</v>
      </c>
      <c r="B195" s="97">
        <v>7.74344086E8</v>
      </c>
      <c r="C195" s="97" t="s">
        <v>1325</v>
      </c>
    </row>
    <row r="196">
      <c r="A196" s="97" t="s">
        <v>1332</v>
      </c>
      <c r="B196" s="97">
        <v>7.75747294E8</v>
      </c>
      <c r="C196" s="97" t="s">
        <v>1325</v>
      </c>
    </row>
    <row r="197">
      <c r="A197" s="97" t="s">
        <v>1333</v>
      </c>
      <c r="B197" s="97">
        <v>7.75747171E8</v>
      </c>
      <c r="C197" s="97" t="s">
        <v>1325</v>
      </c>
    </row>
    <row r="198">
      <c r="A198" s="97" t="s">
        <v>1334</v>
      </c>
      <c r="B198" s="97">
        <v>7.72514762E8</v>
      </c>
      <c r="C198" s="97" t="s">
        <v>1325</v>
      </c>
    </row>
    <row r="199">
      <c r="A199" s="97" t="s">
        <v>1335</v>
      </c>
      <c r="B199" s="97">
        <v>7.06686197E8</v>
      </c>
      <c r="C199" s="97" t="s">
        <v>1325</v>
      </c>
    </row>
    <row r="200">
      <c r="A200" s="97" t="s">
        <v>1336</v>
      </c>
      <c r="B200" s="97">
        <v>7.72575072E8</v>
      </c>
      <c r="C200" s="97" t="s">
        <v>1325</v>
      </c>
    </row>
    <row r="201">
      <c r="A201" s="97" t="s">
        <v>1337</v>
      </c>
      <c r="B201" s="97">
        <v>7.72506824E8</v>
      </c>
      <c r="C201" s="97" t="s">
        <v>1325</v>
      </c>
    </row>
    <row r="202">
      <c r="A202" s="97" t="s">
        <v>1338</v>
      </c>
      <c r="B202" s="97">
        <v>7.85677445E8</v>
      </c>
      <c r="C202" s="97" t="s">
        <v>1325</v>
      </c>
    </row>
    <row r="203">
      <c r="A203" s="97" t="s">
        <v>1339</v>
      </c>
      <c r="B203" s="97">
        <v>7.79907073E8</v>
      </c>
      <c r="C203" s="97" t="s">
        <v>1325</v>
      </c>
    </row>
    <row r="204">
      <c r="A204" s="97" t="s">
        <v>1340</v>
      </c>
      <c r="B204" s="97">
        <v>7.01741706E8</v>
      </c>
      <c r="C204" s="97" t="s">
        <v>1325</v>
      </c>
    </row>
    <row r="205">
      <c r="A205" s="97" t="s">
        <v>1341</v>
      </c>
      <c r="B205" s="97">
        <v>7.79690241E8</v>
      </c>
      <c r="C205" s="97" t="s">
        <v>1325</v>
      </c>
    </row>
    <row r="206">
      <c r="A206" s="97" t="s">
        <v>1342</v>
      </c>
      <c r="B206" s="97">
        <v>7.04556467E8</v>
      </c>
      <c r="C206" s="97" t="s">
        <v>1325</v>
      </c>
    </row>
    <row r="207">
      <c r="A207" s="97" t="s">
        <v>1343</v>
      </c>
      <c r="B207" s="97">
        <v>7.00510154E8</v>
      </c>
      <c r="C207" s="97" t="s">
        <v>1325</v>
      </c>
    </row>
    <row r="208">
      <c r="A208" s="97" t="s">
        <v>1344</v>
      </c>
      <c r="B208" s="97">
        <v>7.82067472E8</v>
      </c>
      <c r="C208" s="97" t="s">
        <v>1325</v>
      </c>
    </row>
    <row r="209">
      <c r="A209" s="97" t="s">
        <v>1345</v>
      </c>
      <c r="B209" s="97">
        <v>7.84012022E8</v>
      </c>
      <c r="C209" s="97" t="s">
        <v>1325</v>
      </c>
    </row>
    <row r="210">
      <c r="A210" s="97" t="s">
        <v>1346</v>
      </c>
      <c r="B210" s="97">
        <v>7.84012022E8</v>
      </c>
      <c r="C210" s="97" t="s">
        <v>1325</v>
      </c>
    </row>
    <row r="211">
      <c r="A211" s="97" t="s">
        <v>1347</v>
      </c>
      <c r="B211" s="97">
        <v>7.72975063E8</v>
      </c>
      <c r="C211" s="97" t="s">
        <v>1325</v>
      </c>
    </row>
    <row r="212">
      <c r="A212" s="97" t="s">
        <v>1348</v>
      </c>
      <c r="B212" s="97">
        <v>7.71517554E8</v>
      </c>
      <c r="C212" s="97" t="s">
        <v>1325</v>
      </c>
    </row>
    <row r="213">
      <c r="A213" s="97" t="s">
        <v>1349</v>
      </c>
      <c r="B213" s="97">
        <v>7.59467945E8</v>
      </c>
      <c r="C213" s="97" t="s">
        <v>1325</v>
      </c>
    </row>
    <row r="214">
      <c r="A214" s="97" t="s">
        <v>1350</v>
      </c>
      <c r="B214" s="97">
        <v>7.71892533E8</v>
      </c>
      <c r="C214" s="97" t="s">
        <v>1325</v>
      </c>
    </row>
    <row r="215">
      <c r="A215" s="97" t="s">
        <v>1351</v>
      </c>
      <c r="B215" s="97">
        <v>7.84279775E8</v>
      </c>
      <c r="C215" s="97" t="s">
        <v>1325</v>
      </c>
    </row>
    <row r="216">
      <c r="A216" s="97" t="s">
        <v>1352</v>
      </c>
      <c r="B216" s="97">
        <v>7.89459322E8</v>
      </c>
      <c r="C216" s="97" t="s">
        <v>1325</v>
      </c>
    </row>
    <row r="217">
      <c r="A217" s="97" t="s">
        <v>1353</v>
      </c>
      <c r="B217" s="97">
        <v>7.55140118E8</v>
      </c>
      <c r="C217" s="97" t="s">
        <v>1325</v>
      </c>
    </row>
    <row r="218">
      <c r="A218" s="97" t="s">
        <v>1354</v>
      </c>
      <c r="B218" s="97">
        <v>7.61522443E8</v>
      </c>
      <c r="C218" s="97" t="s">
        <v>1325</v>
      </c>
    </row>
    <row r="219">
      <c r="A219" s="97" t="s">
        <v>1355</v>
      </c>
      <c r="B219" s="97">
        <v>7.72630003E8</v>
      </c>
      <c r="C219" s="97" t="s">
        <v>1325</v>
      </c>
    </row>
    <row r="220">
      <c r="A220" s="97" t="s">
        <v>1356</v>
      </c>
      <c r="B220" s="97">
        <v>7.87552279E8</v>
      </c>
      <c r="C220" s="97" t="s">
        <v>1325</v>
      </c>
    </row>
    <row r="221">
      <c r="A221" s="97" t="s">
        <v>1357</v>
      </c>
      <c r="B221" s="97">
        <v>7.76318681E8</v>
      </c>
      <c r="C221" s="97" t="s">
        <v>1325</v>
      </c>
    </row>
    <row r="222">
      <c r="A222" s="97" t="s">
        <v>1358</v>
      </c>
      <c r="B222" s="97">
        <v>7.08871044E8</v>
      </c>
      <c r="C222" s="97" t="s">
        <v>1325</v>
      </c>
    </row>
    <row r="223">
      <c r="A223" s="97" t="s">
        <v>1359</v>
      </c>
      <c r="B223" s="97">
        <v>7.02301687E8</v>
      </c>
      <c r="C223" s="97" t="s">
        <v>1325</v>
      </c>
    </row>
    <row r="224">
      <c r="A224" s="97" t="s">
        <v>1360</v>
      </c>
      <c r="B224" s="97">
        <v>7.00448343E8</v>
      </c>
      <c r="C224" s="97" t="s">
        <v>1325</v>
      </c>
    </row>
    <row r="225">
      <c r="A225" s="97" t="s">
        <v>1361</v>
      </c>
      <c r="B225" s="97">
        <v>7.52890266E8</v>
      </c>
      <c r="C225" s="97" t="s">
        <v>1325</v>
      </c>
    </row>
    <row r="226">
      <c r="A226" s="97" t="s">
        <v>1362</v>
      </c>
      <c r="B226" s="97">
        <v>7.73198283E8</v>
      </c>
      <c r="C226" s="97" t="s">
        <v>1363</v>
      </c>
    </row>
    <row r="227">
      <c r="A227" s="97" t="s">
        <v>1364</v>
      </c>
      <c r="B227" s="97">
        <v>7.82777729E8</v>
      </c>
      <c r="C227" s="97" t="s">
        <v>1325</v>
      </c>
    </row>
    <row r="228">
      <c r="A228" s="97" t="s">
        <v>1365</v>
      </c>
      <c r="B228" s="97">
        <v>7.57155333E8</v>
      </c>
      <c r="C228" s="97" t="s">
        <v>1325</v>
      </c>
    </row>
    <row r="229">
      <c r="A229" s="97" t="s">
        <v>1366</v>
      </c>
      <c r="B229" s="97">
        <v>7.81581395E8</v>
      </c>
      <c r="C229" s="97" t="s">
        <v>1325</v>
      </c>
    </row>
    <row r="230">
      <c r="A230" s="97" t="s">
        <v>1367</v>
      </c>
      <c r="B230" s="97">
        <v>7.79129139E8</v>
      </c>
      <c r="C230" s="97" t="s">
        <v>1325</v>
      </c>
    </row>
    <row r="231">
      <c r="A231" s="97" t="s">
        <v>1368</v>
      </c>
      <c r="B231" s="97">
        <v>7.88107709E8</v>
      </c>
      <c r="C231" s="97" t="s">
        <v>1325</v>
      </c>
    </row>
    <row r="232">
      <c r="A232" s="97" t="s">
        <v>1369</v>
      </c>
      <c r="B232" s="97">
        <v>7.72709989E8</v>
      </c>
      <c r="C232" s="97" t="s">
        <v>1325</v>
      </c>
    </row>
    <row r="233">
      <c r="A233" s="97" t="s">
        <v>1370</v>
      </c>
      <c r="B233" s="97">
        <v>7.03950602E8</v>
      </c>
      <c r="C233" s="97" t="s">
        <v>1325</v>
      </c>
    </row>
    <row r="234">
      <c r="A234" s="97" t="s">
        <v>1371</v>
      </c>
      <c r="B234" s="97">
        <v>7.54608654E8</v>
      </c>
      <c r="C234" s="97" t="s">
        <v>1325</v>
      </c>
    </row>
    <row r="235">
      <c r="A235" s="97" t="s">
        <v>1372</v>
      </c>
      <c r="B235" s="97">
        <v>7.72019005E8</v>
      </c>
      <c r="C235" s="97" t="s">
        <v>1325</v>
      </c>
    </row>
    <row r="236">
      <c r="A236" s="97" t="s">
        <v>1373</v>
      </c>
      <c r="B236" s="97">
        <v>7.52078655E8</v>
      </c>
      <c r="C236" s="97" t="s">
        <v>1325</v>
      </c>
    </row>
    <row r="237">
      <c r="A237" s="97" t="s">
        <v>1374</v>
      </c>
      <c r="B237" s="97">
        <v>7.74075632E8</v>
      </c>
      <c r="C237" s="97" t="s">
        <v>1325</v>
      </c>
    </row>
    <row r="238">
      <c r="A238" s="97" t="s">
        <v>1375</v>
      </c>
      <c r="B238" s="97">
        <v>7.01853185E8</v>
      </c>
      <c r="C238" s="97" t="s">
        <v>1325</v>
      </c>
    </row>
    <row r="239">
      <c r="A239" s="97" t="s">
        <v>1376</v>
      </c>
      <c r="B239" s="97">
        <v>7.85406752E8</v>
      </c>
      <c r="C239" s="97" t="s">
        <v>1377</v>
      </c>
    </row>
    <row r="240">
      <c r="A240" s="97" t="s">
        <v>1378</v>
      </c>
      <c r="B240" s="97">
        <v>7.82340402E8</v>
      </c>
      <c r="C240" s="97" t="s">
        <v>1377</v>
      </c>
    </row>
    <row r="241">
      <c r="A241" s="97" t="s">
        <v>1379</v>
      </c>
      <c r="B241" s="97">
        <v>7.82340402E8</v>
      </c>
      <c r="C241" s="97" t="s">
        <v>1377</v>
      </c>
    </row>
    <row r="242">
      <c r="A242" s="97" t="s">
        <v>1380</v>
      </c>
      <c r="B242" s="97">
        <v>7.85406741E8</v>
      </c>
      <c r="C242" s="97" t="s">
        <v>1377</v>
      </c>
    </row>
    <row r="243">
      <c r="A243" s="97" t="s">
        <v>1381</v>
      </c>
      <c r="B243" s="97">
        <v>7.856227E8</v>
      </c>
      <c r="C243" s="97" t="s">
        <v>1377</v>
      </c>
    </row>
    <row r="244">
      <c r="A244" s="97" t="s">
        <v>1382</v>
      </c>
      <c r="B244" s="97">
        <v>7.8842264E7</v>
      </c>
      <c r="C244" s="97" t="s">
        <v>1377</v>
      </c>
    </row>
    <row r="245">
      <c r="A245" s="97" t="s">
        <v>1383</v>
      </c>
      <c r="B245" s="97">
        <v>7.84460122E8</v>
      </c>
      <c r="C245" s="97" t="s">
        <v>1377</v>
      </c>
    </row>
    <row r="246">
      <c r="A246" s="97" t="s">
        <v>1384</v>
      </c>
      <c r="B246" s="97">
        <v>7.792964439E9</v>
      </c>
      <c r="C246" s="97" t="s">
        <v>1377</v>
      </c>
    </row>
    <row r="247">
      <c r="A247" s="97" t="s">
        <v>1385</v>
      </c>
      <c r="B247" s="97">
        <v>7.72072041E8</v>
      </c>
      <c r="C247" s="97" t="s">
        <v>1377</v>
      </c>
    </row>
    <row r="248">
      <c r="A248" s="97" t="s">
        <v>1386</v>
      </c>
      <c r="B248" s="97">
        <v>7.0146989E7</v>
      </c>
      <c r="C248" s="97" t="s">
        <v>1377</v>
      </c>
    </row>
    <row r="249">
      <c r="A249" s="97" t="s">
        <v>1387</v>
      </c>
      <c r="B249" s="97">
        <v>7.01469539E8</v>
      </c>
      <c r="C249" s="97" t="s">
        <v>1377</v>
      </c>
    </row>
    <row r="250">
      <c r="A250" s="97" t="s">
        <v>1388</v>
      </c>
      <c r="B250" s="97">
        <v>7.8448131E7</v>
      </c>
      <c r="C250" s="97" t="s">
        <v>1377</v>
      </c>
    </row>
    <row r="251">
      <c r="A251" s="97" t="s">
        <v>1389</v>
      </c>
      <c r="B251" s="97">
        <v>7.0365032E7</v>
      </c>
      <c r="C251" s="97" t="s">
        <v>1377</v>
      </c>
    </row>
    <row r="252">
      <c r="A252" s="97" t="s">
        <v>1390</v>
      </c>
      <c r="B252" s="97">
        <v>7.7512679E7</v>
      </c>
      <c r="C252" s="97" t="s">
        <v>1377</v>
      </c>
    </row>
    <row r="253">
      <c r="A253" s="97" t="s">
        <v>1391</v>
      </c>
      <c r="B253" s="97">
        <v>7.84307357E8</v>
      </c>
      <c r="C253" s="97" t="s">
        <v>1377</v>
      </c>
    </row>
    <row r="254">
      <c r="A254" s="97" t="s">
        <v>1392</v>
      </c>
      <c r="B254" s="97">
        <v>7.84307387E8</v>
      </c>
      <c r="C254" s="97" t="s">
        <v>1377</v>
      </c>
    </row>
    <row r="255">
      <c r="A255" s="97" t="s">
        <v>1393</v>
      </c>
      <c r="B255" s="97">
        <v>7.72964202E8</v>
      </c>
      <c r="C255" s="97" t="s">
        <v>1377</v>
      </c>
    </row>
    <row r="256">
      <c r="A256" s="97" t="s">
        <v>1394</v>
      </c>
      <c r="B256" s="97">
        <v>7.7291126E8</v>
      </c>
      <c r="C256" s="97" t="s">
        <v>1377</v>
      </c>
    </row>
    <row r="257">
      <c r="A257" s="97" t="s">
        <v>1395</v>
      </c>
      <c r="B257" s="97">
        <v>7.03708509E8</v>
      </c>
      <c r="C257" s="97" t="s">
        <v>1377</v>
      </c>
    </row>
    <row r="258">
      <c r="A258" s="97" t="s">
        <v>1396</v>
      </c>
      <c r="B258" s="97">
        <v>7.0378509E7</v>
      </c>
      <c r="C258" s="97" t="s">
        <v>1377</v>
      </c>
    </row>
    <row r="259">
      <c r="A259" s="97" t="s">
        <v>1397</v>
      </c>
      <c r="B259" s="97">
        <v>7.8472126E8</v>
      </c>
      <c r="C259" s="97" t="s">
        <v>1377</v>
      </c>
    </row>
    <row r="260">
      <c r="A260" s="97" t="s">
        <v>1398</v>
      </c>
      <c r="B260" s="97">
        <v>7.734149E8</v>
      </c>
      <c r="C260" s="97" t="s">
        <v>1377</v>
      </c>
    </row>
    <row r="261">
      <c r="A261" s="97" t="s">
        <v>1399</v>
      </c>
      <c r="B261" s="97">
        <v>7.01414887E8</v>
      </c>
      <c r="C261" s="97" t="s">
        <v>1377</v>
      </c>
    </row>
    <row r="262">
      <c r="A262" s="97" t="s">
        <v>1400</v>
      </c>
      <c r="B262" s="97">
        <v>7.7581151E8</v>
      </c>
      <c r="C262" s="97" t="s">
        <v>1377</v>
      </c>
    </row>
    <row r="263">
      <c r="A263" s="97" t="s">
        <v>1401</v>
      </c>
      <c r="B263" s="97">
        <v>7.75152709E8</v>
      </c>
      <c r="C263" s="97" t="s">
        <v>1377</v>
      </c>
    </row>
    <row r="264">
      <c r="A264" s="97" t="s">
        <v>1402</v>
      </c>
      <c r="B264" s="97">
        <v>7.75152702E8</v>
      </c>
      <c r="C264" s="97" t="s">
        <v>1377</v>
      </c>
    </row>
    <row r="265">
      <c r="A265" s="97" t="s">
        <v>1403</v>
      </c>
      <c r="B265" s="97">
        <v>7.72683684E8</v>
      </c>
      <c r="C265" s="97" t="s">
        <v>1377</v>
      </c>
    </row>
    <row r="266">
      <c r="A266" s="97" t="s">
        <v>1404</v>
      </c>
      <c r="B266" s="97">
        <v>7.72873079E8</v>
      </c>
      <c r="C266" s="97" t="s">
        <v>1405</v>
      </c>
    </row>
    <row r="267">
      <c r="A267" s="97" t="s">
        <v>1406</v>
      </c>
      <c r="B267" s="97">
        <v>7.0081251E7</v>
      </c>
      <c r="C267" s="97" t="s">
        <v>1377</v>
      </c>
    </row>
    <row r="268">
      <c r="A268" s="97" t="s">
        <v>1407</v>
      </c>
      <c r="B268" s="97">
        <v>7.76260016E8</v>
      </c>
      <c r="C268" s="97" t="s">
        <v>1377</v>
      </c>
    </row>
    <row r="269">
      <c r="A269" s="97" t="s">
        <v>1408</v>
      </c>
      <c r="B269" s="97">
        <v>7.74077039E8</v>
      </c>
      <c r="C269" s="97" t="s">
        <v>1377</v>
      </c>
    </row>
    <row r="270">
      <c r="A270" s="97" t="s">
        <v>1409</v>
      </c>
      <c r="B270" s="97">
        <v>7.52600244E8</v>
      </c>
      <c r="C270" s="97" t="s">
        <v>1377</v>
      </c>
    </row>
    <row r="271">
      <c r="A271" s="97" t="s">
        <v>1410</v>
      </c>
      <c r="B271" s="97">
        <v>7.5219363E8</v>
      </c>
      <c r="C271" s="97" t="s">
        <v>1377</v>
      </c>
    </row>
    <row r="272">
      <c r="A272" s="97" t="s">
        <v>1411</v>
      </c>
      <c r="B272" s="97">
        <v>7.04600242E8</v>
      </c>
      <c r="C272" s="97" t="s">
        <v>1377</v>
      </c>
    </row>
    <row r="273">
      <c r="A273" s="97" t="s">
        <v>1412</v>
      </c>
      <c r="B273" s="97">
        <v>7.04600242E8</v>
      </c>
      <c r="C273" s="97" t="s">
        <v>1377</v>
      </c>
    </row>
    <row r="274">
      <c r="A274" s="97" t="s">
        <v>1413</v>
      </c>
      <c r="B274" s="97">
        <v>7.05420715E8</v>
      </c>
      <c r="C274" s="97" t="s">
        <v>1377</v>
      </c>
    </row>
    <row r="275">
      <c r="A275" s="97" t="s">
        <v>1414</v>
      </c>
      <c r="B275" s="97">
        <v>7.56254943E8</v>
      </c>
      <c r="C275" s="97" t="s">
        <v>1377</v>
      </c>
    </row>
    <row r="276">
      <c r="A276" s="97" t="s">
        <v>1415</v>
      </c>
      <c r="B276" s="97">
        <v>7.5410753E8</v>
      </c>
      <c r="C276" s="97" t="s">
        <v>1377</v>
      </c>
    </row>
    <row r="277">
      <c r="A277" s="97" t="s">
        <v>1416</v>
      </c>
      <c r="B277" s="97">
        <v>7.58899855E8</v>
      </c>
      <c r="C277" s="97" t="s">
        <v>1377</v>
      </c>
    </row>
    <row r="278">
      <c r="A278" s="97" t="s">
        <v>1417</v>
      </c>
      <c r="B278" s="97">
        <v>7.89173265E8</v>
      </c>
      <c r="C278" s="97" t="s">
        <v>1377</v>
      </c>
    </row>
    <row r="279">
      <c r="A279" s="97" t="s">
        <v>1418</v>
      </c>
      <c r="B279" s="97">
        <v>7.51354424E8</v>
      </c>
      <c r="C279" s="97" t="s">
        <v>1377</v>
      </c>
    </row>
    <row r="280">
      <c r="A280" s="97" t="s">
        <v>1419</v>
      </c>
      <c r="B280" s="97">
        <v>7.77606263E8</v>
      </c>
      <c r="C280" s="97" t="s">
        <v>1272</v>
      </c>
    </row>
    <row r="281">
      <c r="A281" s="97" t="s">
        <v>1420</v>
      </c>
      <c r="B281" s="97">
        <v>7.02277574E8</v>
      </c>
      <c r="C281" s="97" t="s">
        <v>1272</v>
      </c>
    </row>
    <row r="282">
      <c r="A282" s="97" t="s">
        <v>1421</v>
      </c>
      <c r="B282" s="97">
        <v>7.02217574E8</v>
      </c>
      <c r="C282" s="97" t="s">
        <v>1272</v>
      </c>
    </row>
    <row r="283">
      <c r="A283" s="97" t="s">
        <v>1422</v>
      </c>
      <c r="B283" s="97">
        <v>7.88337685E8</v>
      </c>
      <c r="C283" s="97" t="s">
        <v>1272</v>
      </c>
    </row>
    <row r="284">
      <c r="A284" s="97" t="s">
        <v>1423</v>
      </c>
      <c r="B284" s="97">
        <v>7.56463737E8</v>
      </c>
      <c r="C284" s="97" t="s">
        <v>1272</v>
      </c>
    </row>
    <row r="285">
      <c r="A285" s="97" t="s">
        <v>1424</v>
      </c>
      <c r="B285" s="97">
        <v>7.72224965E8</v>
      </c>
      <c r="C285" s="97" t="s">
        <v>1272</v>
      </c>
    </row>
    <row r="286">
      <c r="A286" s="97" t="s">
        <v>1425</v>
      </c>
      <c r="B286" s="97">
        <v>7.83238106E8</v>
      </c>
      <c r="C286" s="97" t="s">
        <v>1272</v>
      </c>
    </row>
    <row r="287">
      <c r="A287" s="97" t="s">
        <v>1426</v>
      </c>
      <c r="B287" s="97">
        <v>7.84116146E8</v>
      </c>
      <c r="C287" s="97" t="s">
        <v>1272</v>
      </c>
    </row>
    <row r="288">
      <c r="A288" s="97" t="s">
        <v>1427</v>
      </c>
      <c r="B288" s="97">
        <v>7.58615944E8</v>
      </c>
      <c r="C288" s="97" t="s">
        <v>1272</v>
      </c>
    </row>
    <row r="289">
      <c r="A289" s="97" t="s">
        <v>1428</v>
      </c>
      <c r="B289" s="97">
        <v>7.77722978E8</v>
      </c>
      <c r="C289" s="97" t="s">
        <v>1272</v>
      </c>
    </row>
    <row r="290">
      <c r="A290" s="97" t="s">
        <v>1429</v>
      </c>
      <c r="B290" s="97">
        <v>7.52590445E8</v>
      </c>
      <c r="C290" s="97" t="s">
        <v>1272</v>
      </c>
    </row>
    <row r="291">
      <c r="A291" s="97" t="s">
        <v>1430</v>
      </c>
      <c r="B291" s="97">
        <v>7.09440988E8</v>
      </c>
      <c r="C291" s="97" t="s">
        <v>1272</v>
      </c>
    </row>
    <row r="292">
      <c r="A292" s="97" t="s">
        <v>1431</v>
      </c>
      <c r="B292" s="97">
        <v>7.82221807E8</v>
      </c>
      <c r="C292" s="97" t="s">
        <v>1272</v>
      </c>
    </row>
    <row r="293">
      <c r="A293" s="97" t="s">
        <v>1432</v>
      </c>
      <c r="B293" s="97">
        <v>7.72393409E8</v>
      </c>
      <c r="C293" s="97" t="s">
        <v>1272</v>
      </c>
    </row>
    <row r="294">
      <c r="A294" s="97" t="s">
        <v>1433</v>
      </c>
      <c r="B294" s="97">
        <v>7.76317051E8</v>
      </c>
      <c r="C294" s="97" t="s">
        <v>1272</v>
      </c>
    </row>
    <row r="295">
      <c r="A295" s="97" t="s">
        <v>1434</v>
      </c>
      <c r="B295" s="97">
        <v>7.72642242E8</v>
      </c>
      <c r="C295" s="97" t="s">
        <v>1272</v>
      </c>
    </row>
    <row r="296">
      <c r="A296" s="97" t="s">
        <v>1435</v>
      </c>
      <c r="B296" s="97">
        <v>7.72441424E8</v>
      </c>
      <c r="C296" s="97" t="s">
        <v>1272</v>
      </c>
    </row>
    <row r="297">
      <c r="A297" s="97" t="s">
        <v>1436</v>
      </c>
      <c r="B297" s="97">
        <v>7.72821422E8</v>
      </c>
      <c r="C297" s="97" t="s">
        <v>1272</v>
      </c>
    </row>
    <row r="298">
      <c r="A298" s="97" t="s">
        <v>1437</v>
      </c>
      <c r="B298" s="97">
        <v>7.72525747E8</v>
      </c>
      <c r="C298" s="97" t="s">
        <v>1272</v>
      </c>
    </row>
    <row r="299">
      <c r="A299" s="97" t="s">
        <v>1438</v>
      </c>
      <c r="B299" s="97">
        <v>7.74441496E8</v>
      </c>
      <c r="C299" s="97" t="s">
        <v>1272</v>
      </c>
    </row>
    <row r="300">
      <c r="A300" s="97" t="s">
        <v>1439</v>
      </c>
      <c r="B300" s="97">
        <v>7.75864798E8</v>
      </c>
      <c r="C300" s="97" t="s">
        <v>1272</v>
      </c>
    </row>
    <row r="301">
      <c r="A301" s="97" t="s">
        <v>1440</v>
      </c>
      <c r="B301" s="97">
        <v>7.72965318E8</v>
      </c>
      <c r="C301" s="97" t="s">
        <v>1272</v>
      </c>
    </row>
    <row r="302">
      <c r="A302" s="97" t="s">
        <v>1441</v>
      </c>
      <c r="B302" s="97">
        <v>7.861155608E9</v>
      </c>
      <c r="C302" s="97" t="s">
        <v>1272</v>
      </c>
    </row>
    <row r="303">
      <c r="A303" s="97" t="s">
        <v>1442</v>
      </c>
      <c r="B303" s="97">
        <v>7.82680672E8</v>
      </c>
      <c r="C303" s="97" t="s">
        <v>1272</v>
      </c>
    </row>
    <row r="304">
      <c r="A304" s="97" t="s">
        <v>1443</v>
      </c>
      <c r="B304" s="97">
        <v>7.82059279E8</v>
      </c>
      <c r="C304" s="97" t="s">
        <v>1272</v>
      </c>
    </row>
    <row r="305">
      <c r="A305" s="97" t="s">
        <v>1444</v>
      </c>
      <c r="B305" s="97">
        <v>7.75888949E8</v>
      </c>
      <c r="C305" s="97" t="s">
        <v>1445</v>
      </c>
    </row>
    <row r="306">
      <c r="A306" s="97" t="s">
        <v>1446</v>
      </c>
      <c r="B306" s="97">
        <v>7.896100129E9</v>
      </c>
      <c r="C306" s="97" t="s">
        <v>1445</v>
      </c>
    </row>
    <row r="307">
      <c r="A307" s="97" t="s">
        <v>1447</v>
      </c>
      <c r="B307" s="97">
        <v>7.72499169E8</v>
      </c>
      <c r="C307" s="97" t="s">
        <v>1445</v>
      </c>
    </row>
    <row r="308">
      <c r="A308" s="97" t="s">
        <v>1448</v>
      </c>
      <c r="B308" s="97">
        <v>7.55250179E8</v>
      </c>
      <c r="C308" s="97" t="s">
        <v>1445</v>
      </c>
    </row>
    <row r="309">
      <c r="A309" s="97" t="s">
        <v>1449</v>
      </c>
      <c r="B309" s="97">
        <v>7.80395598E8</v>
      </c>
      <c r="C309" s="97" t="s">
        <v>1445</v>
      </c>
    </row>
    <row r="310">
      <c r="A310" s="97" t="s">
        <v>1450</v>
      </c>
      <c r="B310" s="97">
        <v>7.02753511E8</v>
      </c>
      <c r="C310" s="97" t="s">
        <v>1445</v>
      </c>
    </row>
    <row r="311">
      <c r="A311" s="97" t="s">
        <v>1451</v>
      </c>
      <c r="B311" s="97">
        <v>7.72642231E8</v>
      </c>
      <c r="C311" s="97" t="s">
        <v>1445</v>
      </c>
    </row>
    <row r="312">
      <c r="A312" s="97" t="s">
        <v>1452</v>
      </c>
      <c r="B312" s="97">
        <v>7.72512366E8</v>
      </c>
      <c r="C312" s="97" t="s">
        <v>1445</v>
      </c>
    </row>
    <row r="313">
      <c r="A313" s="97" t="s">
        <v>1453</v>
      </c>
      <c r="B313" s="97">
        <v>7.06888609E8</v>
      </c>
      <c r="C313" s="97" t="s">
        <v>1445</v>
      </c>
    </row>
    <row r="314">
      <c r="A314" s="97" t="s">
        <v>1454</v>
      </c>
      <c r="B314" s="97">
        <v>7.72512366E8</v>
      </c>
      <c r="C314" s="97" t="s">
        <v>1445</v>
      </c>
    </row>
    <row r="315">
      <c r="A315" s="97" t="s">
        <v>1455</v>
      </c>
      <c r="B315" s="97">
        <v>7.74295779E8</v>
      </c>
      <c r="C315" s="97" t="s">
        <v>1445</v>
      </c>
    </row>
    <row r="316">
      <c r="A316" s="97" t="s">
        <v>1456</v>
      </c>
      <c r="B316" s="97">
        <v>7.58254036E8</v>
      </c>
      <c r="C316" s="97" t="s">
        <v>1445</v>
      </c>
    </row>
    <row r="317">
      <c r="A317" s="97" t="s">
        <v>1457</v>
      </c>
      <c r="B317" s="97">
        <v>7.56358757E8</v>
      </c>
      <c r="C317" s="97" t="s">
        <v>1445</v>
      </c>
    </row>
    <row r="318">
      <c r="A318" s="97" t="s">
        <v>1458</v>
      </c>
      <c r="B318" s="97">
        <v>7.78059742E8</v>
      </c>
      <c r="C318" s="97" t="s">
        <v>1445</v>
      </c>
    </row>
    <row r="319">
      <c r="A319" s="97" t="s">
        <v>1459</v>
      </c>
      <c r="B319" s="97">
        <v>7.79541335E8</v>
      </c>
      <c r="C319" s="97" t="s">
        <v>1445</v>
      </c>
    </row>
    <row r="320">
      <c r="A320" s="97" t="s">
        <v>1460</v>
      </c>
      <c r="B320" s="97">
        <v>7.03370657E8</v>
      </c>
      <c r="C320" s="97" t="s">
        <v>1445</v>
      </c>
    </row>
    <row r="321">
      <c r="A321" s="97" t="s">
        <v>1461</v>
      </c>
      <c r="B321" s="97">
        <v>7.8819208E8</v>
      </c>
      <c r="C321" s="97" t="s">
        <v>1445</v>
      </c>
    </row>
    <row r="322">
      <c r="A322" s="97" t="s">
        <v>1462</v>
      </c>
      <c r="B322" s="97">
        <v>7.71371095E8</v>
      </c>
      <c r="C322" s="97" t="s">
        <v>1445</v>
      </c>
    </row>
    <row r="323">
      <c r="A323" s="97" t="s">
        <v>1463</v>
      </c>
      <c r="B323" s="97">
        <v>7.79518779E8</v>
      </c>
      <c r="C323" s="97" t="s">
        <v>1445</v>
      </c>
    </row>
    <row r="324">
      <c r="A324" s="97" t="s">
        <v>1464</v>
      </c>
      <c r="B324" s="97">
        <v>7.72580103E8</v>
      </c>
      <c r="C324" s="97" t="s">
        <v>1445</v>
      </c>
    </row>
    <row r="325">
      <c r="A325" s="97" t="s">
        <v>1465</v>
      </c>
      <c r="B325" s="97">
        <v>7.04912925E8</v>
      </c>
      <c r="C325" s="97" t="s">
        <v>1445</v>
      </c>
    </row>
    <row r="326">
      <c r="A326" s="97" t="s">
        <v>1466</v>
      </c>
      <c r="B326" s="97">
        <v>7.72711529E8</v>
      </c>
      <c r="C326" s="97" t="s">
        <v>1445</v>
      </c>
    </row>
    <row r="327">
      <c r="A327" s="97" t="s">
        <v>1467</v>
      </c>
      <c r="B327" s="97">
        <v>7.04912915E8</v>
      </c>
      <c r="C327" s="97" t="s">
        <v>1445</v>
      </c>
    </row>
    <row r="328">
      <c r="A328" s="97" t="s">
        <v>1468</v>
      </c>
      <c r="B328" s="97">
        <v>7.76974502E8</v>
      </c>
      <c r="C328" s="97" t="s">
        <v>1445</v>
      </c>
    </row>
    <row r="329">
      <c r="A329" s="97" t="s">
        <v>1469</v>
      </c>
      <c r="B329" s="97">
        <v>7.01010004E8</v>
      </c>
      <c r="C329" s="97" t="s">
        <v>1445</v>
      </c>
    </row>
    <row r="330">
      <c r="A330" s="97" t="s">
        <v>1470</v>
      </c>
      <c r="B330" s="97">
        <v>7.83312298E8</v>
      </c>
      <c r="C330" s="97" t="s">
        <v>1445</v>
      </c>
    </row>
    <row r="331">
      <c r="A331" s="97" t="s">
        <v>1471</v>
      </c>
      <c r="B331" s="97">
        <v>7.84229745E8</v>
      </c>
      <c r="C331" s="97" t="s">
        <v>1445</v>
      </c>
    </row>
    <row r="332">
      <c r="A332" s="97" t="s">
        <v>1472</v>
      </c>
      <c r="B332" s="97">
        <v>7.73131617E9</v>
      </c>
      <c r="C332" s="97" t="s">
        <v>1445</v>
      </c>
    </row>
    <row r="333">
      <c r="A333" s="97" t="s">
        <v>1473</v>
      </c>
      <c r="B333" s="97">
        <v>7.7657617E8</v>
      </c>
      <c r="C333" s="97" t="s">
        <v>1445</v>
      </c>
    </row>
    <row r="334">
      <c r="A334" s="97" t="s">
        <v>1474</v>
      </c>
      <c r="B334" s="97">
        <v>7.05023184E8</v>
      </c>
      <c r="C334" s="97" t="s">
        <v>1445</v>
      </c>
    </row>
    <row r="335">
      <c r="A335" s="97" t="s">
        <v>1475</v>
      </c>
      <c r="B335" s="97">
        <v>7.0502318E8</v>
      </c>
      <c r="C335" s="97" t="s">
        <v>1445</v>
      </c>
    </row>
    <row r="336">
      <c r="A336" s="97" t="s">
        <v>1476</v>
      </c>
      <c r="B336" s="97">
        <v>7.79707834E8</v>
      </c>
      <c r="C336" s="97" t="s">
        <v>1445</v>
      </c>
    </row>
    <row r="337">
      <c r="A337" s="97" t="s">
        <v>1477</v>
      </c>
      <c r="B337" s="97">
        <v>7.87256206E8</v>
      </c>
      <c r="C337" s="97" t="s">
        <v>1445</v>
      </c>
    </row>
    <row r="338">
      <c r="A338" s="97" t="s">
        <v>1478</v>
      </c>
      <c r="B338" s="97">
        <v>7.58583433E8</v>
      </c>
      <c r="C338" s="97" t="s">
        <v>1445</v>
      </c>
    </row>
    <row r="339">
      <c r="A339" s="97" t="s">
        <v>1479</v>
      </c>
      <c r="B339" s="97">
        <v>7.52607373E8</v>
      </c>
      <c r="C339" s="97" t="s">
        <v>1445</v>
      </c>
    </row>
    <row r="340">
      <c r="A340" s="97" t="s">
        <v>1480</v>
      </c>
      <c r="B340" s="97">
        <v>7.78585673E8</v>
      </c>
      <c r="C340" s="97" t="s">
        <v>1445</v>
      </c>
    </row>
    <row r="341">
      <c r="A341" s="97" t="s">
        <v>1481</v>
      </c>
      <c r="B341" s="97">
        <v>7.88810814E8</v>
      </c>
      <c r="C341" s="97" t="s">
        <v>1445</v>
      </c>
    </row>
    <row r="342">
      <c r="A342" s="97" t="s">
        <v>1482</v>
      </c>
      <c r="B342" s="97">
        <v>7.47513172E8</v>
      </c>
      <c r="C342" s="97" t="s">
        <v>1445</v>
      </c>
    </row>
    <row r="343">
      <c r="A343" s="97" t="s">
        <v>1483</v>
      </c>
      <c r="B343" s="97">
        <v>7.84741605E8</v>
      </c>
      <c r="C343" s="97" t="s">
        <v>1445</v>
      </c>
    </row>
    <row r="344">
      <c r="A344" s="97" t="s">
        <v>1484</v>
      </c>
      <c r="B344" s="97">
        <v>7.83021217E8</v>
      </c>
      <c r="C344" s="97" t="s">
        <v>1445</v>
      </c>
    </row>
    <row r="345">
      <c r="A345" s="97" t="s">
        <v>1485</v>
      </c>
      <c r="B345" s="97">
        <v>7.7313618E7</v>
      </c>
      <c r="C345" s="97" t="s">
        <v>1445</v>
      </c>
    </row>
    <row r="346">
      <c r="A346" s="97" t="s">
        <v>1486</v>
      </c>
      <c r="B346" s="97">
        <v>7.52600435E8</v>
      </c>
      <c r="C346" s="97" t="s">
        <v>1445</v>
      </c>
    </row>
    <row r="347">
      <c r="A347" s="97" t="s">
        <v>1487</v>
      </c>
      <c r="B347" s="97">
        <v>7.84291702E8</v>
      </c>
      <c r="C347" s="97" t="s">
        <v>1445</v>
      </c>
    </row>
    <row r="348">
      <c r="A348" s="97" t="s">
        <v>1488</v>
      </c>
      <c r="B348" s="97">
        <v>7.85312298E8</v>
      </c>
      <c r="C348" s="97" t="s">
        <v>1445</v>
      </c>
    </row>
    <row r="349">
      <c r="A349" s="97" t="s">
        <v>1489</v>
      </c>
      <c r="B349" s="97">
        <v>7.84229745E8</v>
      </c>
      <c r="C349" s="97" t="s">
        <v>1445</v>
      </c>
    </row>
    <row r="350">
      <c r="A350" s="97" t="s">
        <v>1490</v>
      </c>
      <c r="B350" s="97">
        <v>7.55926511E8</v>
      </c>
      <c r="C350" s="97" t="s">
        <v>1445</v>
      </c>
    </row>
    <row r="351">
      <c r="A351" s="97" t="s">
        <v>1491</v>
      </c>
      <c r="B351" s="97">
        <v>7.05023184E8</v>
      </c>
      <c r="C351" s="97" t="s">
        <v>1445</v>
      </c>
    </row>
    <row r="352">
      <c r="A352" s="97" t="s">
        <v>1492</v>
      </c>
      <c r="B352" s="97">
        <v>7.79707634E8</v>
      </c>
      <c r="C352" s="97" t="s">
        <v>1445</v>
      </c>
    </row>
    <row r="353">
      <c r="A353" s="97" t="s">
        <v>1493</v>
      </c>
      <c r="B353" s="97">
        <v>7.87256206E8</v>
      </c>
      <c r="C353" s="97" t="s">
        <v>1445</v>
      </c>
    </row>
    <row r="354">
      <c r="A354" s="97" t="s">
        <v>1494</v>
      </c>
      <c r="B354" s="97">
        <v>7.58583433E8</v>
      </c>
      <c r="C354" s="97" t="s">
        <v>1445</v>
      </c>
    </row>
    <row r="355">
      <c r="A355" s="97" t="s">
        <v>1495</v>
      </c>
      <c r="B355" s="97">
        <v>7.74221146E8</v>
      </c>
      <c r="C355" s="97" t="s">
        <v>1377</v>
      </c>
    </row>
    <row r="356">
      <c r="A356" s="97" t="s">
        <v>1496</v>
      </c>
      <c r="B356" s="97">
        <v>7.56225164E8</v>
      </c>
      <c r="C356" s="97" t="s">
        <v>1377</v>
      </c>
    </row>
    <row r="357">
      <c r="A357" s="97" t="s">
        <v>1497</v>
      </c>
      <c r="B357" s="97">
        <v>7.51626371E8</v>
      </c>
      <c r="C357" s="97" t="s">
        <v>1377</v>
      </c>
    </row>
    <row r="358">
      <c r="A358" s="97" t="s">
        <v>1498</v>
      </c>
      <c r="B358" s="97">
        <v>7.5534506E8</v>
      </c>
      <c r="C358" s="97" t="s">
        <v>1377</v>
      </c>
    </row>
    <row r="359">
      <c r="A359" s="97" t="s">
        <v>1499</v>
      </c>
      <c r="B359" s="97">
        <v>7.5692498E7</v>
      </c>
      <c r="C359" s="97" t="s">
        <v>1377</v>
      </c>
    </row>
    <row r="360">
      <c r="A360" s="97" t="s">
        <v>1500</v>
      </c>
      <c r="B360" s="97">
        <v>7.72700881E8</v>
      </c>
      <c r="C360" s="97" t="s">
        <v>1377</v>
      </c>
    </row>
    <row r="361">
      <c r="A361" s="97" t="s">
        <v>1501</v>
      </c>
      <c r="B361" s="97">
        <v>7.84426031E8</v>
      </c>
      <c r="C361" s="97" t="s">
        <v>1377</v>
      </c>
    </row>
    <row r="362">
      <c r="A362" s="97" t="s">
        <v>1502</v>
      </c>
      <c r="B362" s="97">
        <v>7.05838358E8</v>
      </c>
      <c r="C362" s="97" t="s">
        <v>1377</v>
      </c>
    </row>
    <row r="363">
      <c r="A363" s="97" t="s">
        <v>1503</v>
      </c>
      <c r="B363" s="97">
        <v>7.72712595E8</v>
      </c>
      <c r="C363" s="97" t="s">
        <v>1377</v>
      </c>
    </row>
    <row r="364">
      <c r="A364" s="97" t="s">
        <v>1504</v>
      </c>
      <c r="B364" s="97">
        <v>7.72852695E8</v>
      </c>
      <c r="C364" s="97" t="s">
        <v>1377</v>
      </c>
    </row>
    <row r="365">
      <c r="A365" s="97" t="s">
        <v>1505</v>
      </c>
      <c r="B365" s="97">
        <v>7.72852695E8</v>
      </c>
      <c r="C365" s="97" t="s">
        <v>1377</v>
      </c>
    </row>
    <row r="366">
      <c r="A366" s="97" t="s">
        <v>1506</v>
      </c>
      <c r="B366" s="97">
        <v>7.70271595E8</v>
      </c>
      <c r="C366" s="97" t="s">
        <v>1377</v>
      </c>
    </row>
    <row r="367">
      <c r="A367" s="97" t="s">
        <v>1507</v>
      </c>
      <c r="B367" s="97">
        <v>7.53987221E8</v>
      </c>
      <c r="C367" s="97" t="s">
        <v>1377</v>
      </c>
    </row>
    <row r="368">
      <c r="A368" s="97" t="s">
        <v>1508</v>
      </c>
      <c r="B368" s="97">
        <v>7.09812385E8</v>
      </c>
      <c r="C368" s="97" t="s">
        <v>1377</v>
      </c>
    </row>
    <row r="369">
      <c r="A369" s="97" t="s">
        <v>1509</v>
      </c>
      <c r="B369" s="97">
        <v>7.82275367E8</v>
      </c>
      <c r="C369" s="97" t="s">
        <v>1377</v>
      </c>
    </row>
    <row r="370">
      <c r="A370" s="97" t="s">
        <v>1510</v>
      </c>
      <c r="B370" s="97">
        <v>7.72349603E8</v>
      </c>
      <c r="C370" s="97" t="s">
        <v>1377</v>
      </c>
    </row>
    <row r="371">
      <c r="A371" s="97" t="s">
        <v>1511</v>
      </c>
      <c r="B371" s="97">
        <v>7.52943368E8</v>
      </c>
      <c r="C371" s="97" t="s">
        <v>1377</v>
      </c>
    </row>
    <row r="372">
      <c r="A372" s="97" t="s">
        <v>1512</v>
      </c>
      <c r="B372" s="97">
        <v>7.7286079E8</v>
      </c>
      <c r="C372" s="97" t="s">
        <v>1377</v>
      </c>
    </row>
    <row r="373">
      <c r="A373" s="97" t="s">
        <v>1513</v>
      </c>
      <c r="B373" s="97">
        <v>7.82954423E8</v>
      </c>
      <c r="C373" s="97" t="s">
        <v>1377</v>
      </c>
    </row>
    <row r="374">
      <c r="A374" s="97" t="s">
        <v>1514</v>
      </c>
      <c r="B374" s="97">
        <v>7.59538886E8</v>
      </c>
      <c r="C374" s="97" t="s">
        <v>1515</v>
      </c>
    </row>
    <row r="375">
      <c r="A375" s="97" t="s">
        <v>1516</v>
      </c>
      <c r="B375" s="97">
        <v>7.76666262E8</v>
      </c>
      <c r="C375" s="97" t="s">
        <v>713</v>
      </c>
    </row>
    <row r="376">
      <c r="A376" s="97" t="s">
        <v>1517</v>
      </c>
      <c r="B376" s="97">
        <v>7.81878057E8</v>
      </c>
      <c r="C376" s="97" t="s">
        <v>1518</v>
      </c>
    </row>
    <row r="377">
      <c r="A377" s="97" t="s">
        <v>1519</v>
      </c>
      <c r="B377" s="97">
        <v>7.55698419E8</v>
      </c>
      <c r="C377" s="97" t="s">
        <v>1518</v>
      </c>
    </row>
    <row r="378">
      <c r="A378" s="97" t="s">
        <v>1520</v>
      </c>
      <c r="B378" s="97">
        <v>7.838327E7</v>
      </c>
      <c r="C378" s="97" t="s">
        <v>1521</v>
      </c>
    </row>
    <row r="379">
      <c r="A379" s="97" t="s">
        <v>1522</v>
      </c>
      <c r="B379" s="97">
        <v>7.60911804E8</v>
      </c>
      <c r="C379" s="97" t="s">
        <v>1258</v>
      </c>
    </row>
    <row r="380">
      <c r="A380" s="97" t="s">
        <v>1523</v>
      </c>
      <c r="B380" s="97">
        <v>7.07681136E8</v>
      </c>
      <c r="C380" s="97" t="s">
        <v>1524</v>
      </c>
    </row>
    <row r="381">
      <c r="A381" s="97" t="s">
        <v>1525</v>
      </c>
      <c r="B381" s="97">
        <v>7.00994804E8</v>
      </c>
      <c r="C381" s="97" t="s">
        <v>1518</v>
      </c>
    </row>
    <row r="382">
      <c r="A382" s="97" t="s">
        <v>1526</v>
      </c>
      <c r="B382" s="97">
        <v>7.88132509E8</v>
      </c>
      <c r="C382" s="97" t="s">
        <v>1518</v>
      </c>
    </row>
    <row r="383">
      <c r="A383" s="97" t="s">
        <v>1527</v>
      </c>
      <c r="B383" s="97">
        <v>7.87920588E8</v>
      </c>
      <c r="C383" s="97" t="s">
        <v>1528</v>
      </c>
    </row>
    <row r="384">
      <c r="A384" s="97" t="s">
        <v>1529</v>
      </c>
      <c r="B384" s="97">
        <v>7.72446504E8</v>
      </c>
      <c r="C384" s="97" t="s">
        <v>1521</v>
      </c>
    </row>
    <row r="385">
      <c r="A385" s="97" t="s">
        <v>1530</v>
      </c>
      <c r="B385" s="97">
        <v>7.8645077E8</v>
      </c>
      <c r="C385" s="97" t="s">
        <v>1521</v>
      </c>
    </row>
    <row r="386">
      <c r="A386" s="97" t="s">
        <v>1531</v>
      </c>
      <c r="B386" s="97">
        <v>7.0224142E8</v>
      </c>
      <c r="C386" s="97" t="s">
        <v>1521</v>
      </c>
    </row>
    <row r="387">
      <c r="A387" s="97" t="s">
        <v>1532</v>
      </c>
      <c r="B387" s="97">
        <v>7.52500847E8</v>
      </c>
      <c r="C387" s="97" t="s">
        <v>1528</v>
      </c>
    </row>
    <row r="388">
      <c r="A388" s="97" t="s">
        <v>1533</v>
      </c>
      <c r="B388" s="97">
        <v>7.5941634E8</v>
      </c>
      <c r="C388" s="97" t="s">
        <v>1518</v>
      </c>
    </row>
    <row r="389">
      <c r="A389" s="97" t="s">
        <v>1534</v>
      </c>
      <c r="B389" s="97">
        <v>7.06635599E8</v>
      </c>
      <c r="C389" s="97" t="s">
        <v>1518</v>
      </c>
    </row>
    <row r="390">
      <c r="A390" s="97" t="s">
        <v>1535</v>
      </c>
      <c r="B390" s="97">
        <v>7.87002298E8</v>
      </c>
      <c r="C390" s="97" t="s">
        <v>1518</v>
      </c>
    </row>
    <row r="391">
      <c r="A391" s="97" t="s">
        <v>1536</v>
      </c>
      <c r="B391" s="97">
        <v>7.64114898E8</v>
      </c>
      <c r="C391" s="97" t="s">
        <v>1518</v>
      </c>
    </row>
    <row r="392">
      <c r="A392" s="97" t="s">
        <v>1537</v>
      </c>
      <c r="B392" s="97">
        <v>7.74431916E8</v>
      </c>
      <c r="C392" s="97" t="s">
        <v>1538</v>
      </c>
    </row>
    <row r="393">
      <c r="A393" s="97" t="s">
        <v>1539</v>
      </c>
      <c r="B393" s="97">
        <v>7.57680631E8</v>
      </c>
      <c r="C393" s="97" t="s">
        <v>1521</v>
      </c>
    </row>
    <row r="394">
      <c r="A394" s="97" t="s">
        <v>1540</v>
      </c>
      <c r="B394" s="97">
        <v>7.58776968E8</v>
      </c>
      <c r="C394" s="97" t="s">
        <v>1521</v>
      </c>
    </row>
    <row r="395">
      <c r="A395" s="97" t="s">
        <v>1541</v>
      </c>
      <c r="B395" s="97">
        <v>7.00234929E8</v>
      </c>
      <c r="C395" s="97" t="s">
        <v>1518</v>
      </c>
    </row>
    <row r="396">
      <c r="A396" s="97" t="s">
        <v>1542</v>
      </c>
      <c r="B396" s="97">
        <v>7.75789392E8</v>
      </c>
      <c r="C396" s="97" t="s">
        <v>1543</v>
      </c>
    </row>
    <row r="397">
      <c r="A397" s="97" t="s">
        <v>1544</v>
      </c>
      <c r="B397" s="97">
        <v>7.71355831E8</v>
      </c>
      <c r="C397" s="97" t="s">
        <v>1518</v>
      </c>
    </row>
    <row r="398">
      <c r="A398" s="97" t="s">
        <v>1545</v>
      </c>
      <c r="B398" s="97">
        <v>7.6834665E8</v>
      </c>
      <c r="C398" s="97" t="s">
        <v>693</v>
      </c>
    </row>
    <row r="399">
      <c r="A399" s="97" t="s">
        <v>1546</v>
      </c>
      <c r="B399" s="97">
        <v>7.47014156E8</v>
      </c>
      <c r="C399" s="97" t="s">
        <v>693</v>
      </c>
    </row>
    <row r="400">
      <c r="A400" s="97" t="s">
        <v>1547</v>
      </c>
      <c r="B400" s="97">
        <v>7.79099356E8</v>
      </c>
      <c r="C400" s="97" t="s">
        <v>693</v>
      </c>
    </row>
    <row r="401">
      <c r="A401" s="97" t="s">
        <v>1548</v>
      </c>
      <c r="B401" s="97">
        <v>7.60745983E8</v>
      </c>
      <c r="C401" s="97" t="s">
        <v>693</v>
      </c>
    </row>
    <row r="402">
      <c r="A402" s="97" t="s">
        <v>1549</v>
      </c>
      <c r="B402" s="97">
        <v>7.05936596E8</v>
      </c>
      <c r="C402" s="97" t="s">
        <v>1538</v>
      </c>
    </row>
    <row r="403">
      <c r="A403" s="97" t="s">
        <v>1550</v>
      </c>
      <c r="B403" s="97">
        <v>7.55407105E8</v>
      </c>
      <c r="C403" s="97" t="s">
        <v>1551</v>
      </c>
    </row>
    <row r="404">
      <c r="A404" s="97" t="s">
        <v>1552</v>
      </c>
      <c r="B404" s="97">
        <v>7.07681136E8</v>
      </c>
      <c r="C404" s="97" t="s">
        <v>1524</v>
      </c>
    </row>
    <row r="405">
      <c r="A405" s="97" t="s">
        <v>1553</v>
      </c>
      <c r="B405" s="97">
        <v>7.00904804E8</v>
      </c>
      <c r="C405" s="97" t="s">
        <v>713</v>
      </c>
    </row>
    <row r="406">
      <c r="A406" s="97" t="s">
        <v>1554</v>
      </c>
      <c r="B406" s="97">
        <v>7.8867579E8</v>
      </c>
      <c r="C406" s="97" t="s">
        <v>1555</v>
      </c>
    </row>
    <row r="407">
      <c r="A407" s="97" t="s">
        <v>1556</v>
      </c>
      <c r="B407" s="97">
        <v>7.87920588E8</v>
      </c>
      <c r="C407" s="97" t="s">
        <v>1557</v>
      </c>
    </row>
    <row r="408">
      <c r="A408" s="97" t="s">
        <v>1558</v>
      </c>
      <c r="B408" s="97">
        <v>7.67876816E8</v>
      </c>
      <c r="C408" s="97" t="s">
        <v>1559</v>
      </c>
    </row>
    <row r="409">
      <c r="A409" s="97" t="s">
        <v>1558</v>
      </c>
      <c r="B409" s="97">
        <v>7.8645077E8</v>
      </c>
      <c r="C409" s="97" t="s">
        <v>713</v>
      </c>
    </row>
    <row r="410">
      <c r="A410" s="97" t="s">
        <v>1531</v>
      </c>
      <c r="B410" s="97">
        <v>7.0224142E8</v>
      </c>
      <c r="C410" s="97" t="s">
        <v>911</v>
      </c>
    </row>
    <row r="411">
      <c r="A411" s="97" t="s">
        <v>1531</v>
      </c>
      <c r="B411" s="97">
        <v>7.0224142E8</v>
      </c>
      <c r="C411" s="97" t="s">
        <v>713</v>
      </c>
    </row>
    <row r="412">
      <c r="A412" s="97" t="s">
        <v>1560</v>
      </c>
      <c r="B412" s="97">
        <v>7.78947775E8</v>
      </c>
      <c r="C412" s="97" t="s">
        <v>1559</v>
      </c>
    </row>
    <row r="413">
      <c r="A413" s="97" t="s">
        <v>1561</v>
      </c>
      <c r="B413" s="97">
        <v>7.00679093E8</v>
      </c>
      <c r="C413" s="97" t="s">
        <v>911</v>
      </c>
    </row>
    <row r="414">
      <c r="A414" s="97" t="s">
        <v>1562</v>
      </c>
      <c r="B414" s="97">
        <v>7.00234929E8</v>
      </c>
      <c r="C414" s="97" t="s">
        <v>713</v>
      </c>
    </row>
    <row r="415">
      <c r="A415" s="97" t="s">
        <v>1563</v>
      </c>
      <c r="B415" s="97">
        <v>7.79501085E8</v>
      </c>
      <c r="C415" s="97" t="s">
        <v>1524</v>
      </c>
    </row>
    <row r="416">
      <c r="A416" s="97" t="s">
        <v>1564</v>
      </c>
      <c r="B416" s="97">
        <v>7.0512801E8</v>
      </c>
      <c r="C416" s="97" t="s">
        <v>1524</v>
      </c>
    </row>
    <row r="417">
      <c r="A417" s="97" t="s">
        <v>1565</v>
      </c>
      <c r="B417" s="97">
        <v>7.57460219E8</v>
      </c>
      <c r="C417" s="97" t="s">
        <v>1559</v>
      </c>
    </row>
    <row r="418">
      <c r="A418" s="97" t="s">
        <v>1566</v>
      </c>
      <c r="B418" s="97">
        <v>7.73345929E8</v>
      </c>
      <c r="C418" s="97" t="s">
        <v>1538</v>
      </c>
    </row>
    <row r="419">
      <c r="A419" s="97" t="s">
        <v>1567</v>
      </c>
      <c r="B419" s="97">
        <v>7.76639835E8</v>
      </c>
      <c r="C419" s="97" t="s">
        <v>1538</v>
      </c>
    </row>
    <row r="420">
      <c r="A420" s="97" t="s">
        <v>1568</v>
      </c>
      <c r="B420" s="97">
        <v>7.82480957E8</v>
      </c>
      <c r="C420" s="97" t="s">
        <v>1538</v>
      </c>
    </row>
    <row r="421">
      <c r="A421" s="97" t="s">
        <v>1569</v>
      </c>
      <c r="B421" s="97">
        <v>7.72389997E8</v>
      </c>
      <c r="C421" s="97" t="s">
        <v>1538</v>
      </c>
    </row>
    <row r="422">
      <c r="A422" s="97" t="s">
        <v>1570</v>
      </c>
      <c r="B422" s="97">
        <v>7.83586841E8</v>
      </c>
      <c r="C422" s="97" t="s">
        <v>713</v>
      </c>
    </row>
    <row r="423">
      <c r="A423" s="97" t="s">
        <v>1571</v>
      </c>
      <c r="B423" s="97">
        <v>7.55523649E8</v>
      </c>
      <c r="C423" s="97" t="s">
        <v>1572</v>
      </c>
    </row>
    <row r="424">
      <c r="A424" s="97" t="s">
        <v>1536</v>
      </c>
      <c r="B424" s="97">
        <v>7.58401926E8</v>
      </c>
      <c r="C424" s="97" t="s">
        <v>1572</v>
      </c>
    </row>
    <row r="425">
      <c r="A425" s="97" t="s">
        <v>1573</v>
      </c>
      <c r="B425" s="97">
        <v>7.44254193E8</v>
      </c>
      <c r="C425" s="97" t="s">
        <v>1572</v>
      </c>
    </row>
    <row r="426">
      <c r="A426" s="97" t="s">
        <v>1574</v>
      </c>
      <c r="B426" s="97">
        <v>7.75772978E8</v>
      </c>
      <c r="C426" s="97" t="s">
        <v>1572</v>
      </c>
    </row>
    <row r="427">
      <c r="A427" s="97" t="s">
        <v>1575</v>
      </c>
      <c r="B427" s="97">
        <v>7.02466906E8</v>
      </c>
      <c r="C427" s="97" t="s">
        <v>1515</v>
      </c>
    </row>
    <row r="428">
      <c r="A428" s="97" t="s">
        <v>1576</v>
      </c>
      <c r="B428" s="97">
        <v>7.53413115E8</v>
      </c>
      <c r="C428" s="97" t="s">
        <v>693</v>
      </c>
    </row>
    <row r="429">
      <c r="A429" s="97" t="s">
        <v>1577</v>
      </c>
      <c r="B429" s="97">
        <v>7.59155021E8</v>
      </c>
      <c r="C429" s="97" t="s">
        <v>693</v>
      </c>
    </row>
    <row r="430">
      <c r="A430" s="97" t="s">
        <v>1578</v>
      </c>
      <c r="B430" s="97">
        <v>7.56002094E8</v>
      </c>
      <c r="C430" s="97" t="s">
        <v>861</v>
      </c>
    </row>
    <row r="431">
      <c r="A431" s="97" t="s">
        <v>1579</v>
      </c>
      <c r="B431" s="97">
        <v>7.42214376E8</v>
      </c>
      <c r="C431" s="97" t="s">
        <v>1580</v>
      </c>
    </row>
    <row r="432">
      <c r="A432" s="97" t="s">
        <v>1581</v>
      </c>
      <c r="B432" s="97">
        <v>7.85273803E8</v>
      </c>
      <c r="C432" s="97" t="s">
        <v>1580</v>
      </c>
    </row>
    <row r="433">
      <c r="A433" s="97" t="s">
        <v>1553</v>
      </c>
      <c r="B433" s="97">
        <v>7.52953305E8</v>
      </c>
      <c r="C433" s="97" t="s">
        <v>1582</v>
      </c>
    </row>
    <row r="434">
      <c r="A434" s="97" t="s">
        <v>1583</v>
      </c>
      <c r="B434" s="97">
        <v>7.55467105E8</v>
      </c>
      <c r="C434" s="97" t="s">
        <v>1584</v>
      </c>
    </row>
    <row r="435">
      <c r="A435" s="97" t="s">
        <v>1554</v>
      </c>
      <c r="B435" s="97">
        <v>7.8867579E8</v>
      </c>
      <c r="C435" s="97" t="s">
        <v>1555</v>
      </c>
    </row>
    <row r="436">
      <c r="A436" s="97" t="s">
        <v>1585</v>
      </c>
      <c r="B436" s="97">
        <v>7.87920588E8</v>
      </c>
      <c r="C436" s="97" t="s">
        <v>1555</v>
      </c>
    </row>
    <row r="437">
      <c r="A437" s="97" t="s">
        <v>1586</v>
      </c>
      <c r="B437" s="97">
        <v>7.76061555E8</v>
      </c>
      <c r="C437" s="97" t="s">
        <v>1587</v>
      </c>
    </row>
    <row r="438">
      <c r="A438" s="97" t="s">
        <v>1588</v>
      </c>
      <c r="B438" s="97">
        <v>7.51147923E8</v>
      </c>
      <c r="C438" s="97" t="s">
        <v>713</v>
      </c>
    </row>
    <row r="439">
      <c r="A439" s="97" t="s">
        <v>1560</v>
      </c>
      <c r="B439" s="97">
        <v>7.78947775E8</v>
      </c>
      <c r="C439" s="97" t="s">
        <v>707</v>
      </c>
    </row>
    <row r="440">
      <c r="A440" s="97" t="s">
        <v>1539</v>
      </c>
      <c r="B440" s="97">
        <v>7.57680631E8</v>
      </c>
      <c r="C440" s="97" t="s">
        <v>912</v>
      </c>
    </row>
    <row r="441">
      <c r="A441" s="97" t="s">
        <v>1589</v>
      </c>
      <c r="B441" s="97">
        <v>7.00234929E8</v>
      </c>
      <c r="C441" s="97" t="s">
        <v>1582</v>
      </c>
    </row>
    <row r="442">
      <c r="A442" s="97" t="s">
        <v>1590</v>
      </c>
      <c r="B442" s="97">
        <v>7.00367646E8</v>
      </c>
      <c r="C442" s="97" t="s">
        <v>713</v>
      </c>
    </row>
    <row r="443">
      <c r="A443" s="97" t="s">
        <v>1591</v>
      </c>
      <c r="B443" s="97">
        <v>7.78609554E8</v>
      </c>
      <c r="C443" s="97" t="s">
        <v>1592</v>
      </c>
    </row>
    <row r="444">
      <c r="A444" s="97" t="s">
        <v>1593</v>
      </c>
      <c r="B444" s="97">
        <v>7.811580547E9</v>
      </c>
      <c r="C444" s="97" t="s">
        <v>1594</v>
      </c>
    </row>
    <row r="445">
      <c r="A445" s="97" t="s">
        <v>1595</v>
      </c>
      <c r="B445" s="97">
        <v>7.07419026E8</v>
      </c>
      <c r="C445" s="97" t="s">
        <v>713</v>
      </c>
    </row>
    <row r="446">
      <c r="A446" s="97" t="s">
        <v>1596</v>
      </c>
      <c r="B446" s="97">
        <v>7.06741949E8</v>
      </c>
      <c r="C446" s="97" t="s">
        <v>1587</v>
      </c>
    </row>
    <row r="447">
      <c r="A447" s="97" t="s">
        <v>1597</v>
      </c>
      <c r="B447" s="97">
        <v>7.78184019E8</v>
      </c>
      <c r="C447" s="97" t="s">
        <v>1598</v>
      </c>
    </row>
    <row r="448">
      <c r="A448" s="97" t="s">
        <v>1599</v>
      </c>
      <c r="B448" s="97">
        <v>7.57680631E8</v>
      </c>
      <c r="C448" s="97" t="s">
        <v>912</v>
      </c>
    </row>
    <row r="449">
      <c r="A449" s="97" t="s">
        <v>1600</v>
      </c>
      <c r="B449" s="97">
        <v>7.76305821E8</v>
      </c>
      <c r="C449" s="97" t="s">
        <v>1601</v>
      </c>
    </row>
    <row r="450">
      <c r="A450" s="97" t="s">
        <v>1602</v>
      </c>
      <c r="B450" s="97">
        <v>7.05941476E8</v>
      </c>
      <c r="C450" s="97" t="s">
        <v>1125</v>
      </c>
    </row>
    <row r="451">
      <c r="A451" s="97" t="s">
        <v>1603</v>
      </c>
      <c r="B451" s="97">
        <v>7.51397071E8</v>
      </c>
      <c r="C451" s="97" t="s">
        <v>1604</v>
      </c>
    </row>
    <row r="452">
      <c r="A452" s="97" t="s">
        <v>1605</v>
      </c>
      <c r="B452" s="97">
        <v>7.74306433E8</v>
      </c>
      <c r="C452" s="97" t="s">
        <v>1239</v>
      </c>
    </row>
    <row r="453">
      <c r="A453" s="97" t="s">
        <v>1606</v>
      </c>
      <c r="B453" s="97">
        <v>7.02277537E8</v>
      </c>
      <c r="C453" s="97" t="s">
        <v>1120</v>
      </c>
    </row>
    <row r="454">
      <c r="A454" s="97" t="s">
        <v>1565</v>
      </c>
      <c r="B454" s="97">
        <v>7.73437915E8</v>
      </c>
      <c r="C454" s="97" t="s">
        <v>1120</v>
      </c>
    </row>
    <row r="455">
      <c r="A455" s="97" t="s">
        <v>1607</v>
      </c>
      <c r="B455" s="97">
        <v>7.09048018E8</v>
      </c>
      <c r="C455" s="97" t="s">
        <v>1601</v>
      </c>
    </row>
    <row r="456">
      <c r="A456" s="97" t="s">
        <v>1608</v>
      </c>
      <c r="B456" s="97">
        <v>7.43225904E8</v>
      </c>
      <c r="C456" s="97" t="s">
        <v>1584</v>
      </c>
    </row>
    <row r="457">
      <c r="A457" s="97" t="s">
        <v>1609</v>
      </c>
      <c r="B457" s="97">
        <v>7.05880218E8</v>
      </c>
      <c r="C457" s="97" t="s">
        <v>1610</v>
      </c>
    </row>
    <row r="458">
      <c r="A458" s="97" t="s">
        <v>1611</v>
      </c>
      <c r="B458" s="97">
        <v>7.54391278E8</v>
      </c>
      <c r="C458" s="97" t="s">
        <v>693</v>
      </c>
    </row>
    <row r="459">
      <c r="A459" s="97" t="s">
        <v>1575</v>
      </c>
      <c r="B459" s="97">
        <v>7.51698051E8</v>
      </c>
      <c r="C459" s="97" t="s">
        <v>1610</v>
      </c>
    </row>
    <row r="460">
      <c r="A460" s="97" t="s">
        <v>1612</v>
      </c>
      <c r="B460" s="97">
        <v>7.52976053E8</v>
      </c>
      <c r="C460" s="97" t="s">
        <v>1613</v>
      </c>
    </row>
    <row r="461">
      <c r="A461" s="97" t="s">
        <v>1614</v>
      </c>
      <c r="B461" s="97">
        <v>7.43070254E8</v>
      </c>
      <c r="C461" s="97" t="s">
        <v>1515</v>
      </c>
    </row>
    <row r="462">
      <c r="A462" s="97" t="s">
        <v>1615</v>
      </c>
      <c r="B462" s="97">
        <v>7.58340793E8</v>
      </c>
      <c r="C462" s="97" t="s">
        <v>1239</v>
      </c>
    </row>
    <row r="463">
      <c r="A463" s="97" t="s">
        <v>1616</v>
      </c>
      <c r="B463" s="97">
        <v>7.79108646E8</v>
      </c>
      <c r="C463" s="97" t="s">
        <v>1617</v>
      </c>
    </row>
    <row r="464">
      <c r="A464" s="97" t="s">
        <v>1618</v>
      </c>
      <c r="B464" s="97">
        <v>7.08226646E8</v>
      </c>
      <c r="C464" s="97" t="s">
        <v>1604</v>
      </c>
    </row>
    <row r="465">
      <c r="A465" s="97" t="s">
        <v>1619</v>
      </c>
      <c r="B465" s="97">
        <v>7.79989726E8</v>
      </c>
      <c r="C465" s="97" t="s">
        <v>727</v>
      </c>
    </row>
    <row r="466">
      <c r="A466" s="97" t="s">
        <v>1620</v>
      </c>
      <c r="B466" s="97">
        <v>7.73758284E8</v>
      </c>
      <c r="C466" s="97" t="s">
        <v>1617</v>
      </c>
    </row>
    <row r="467">
      <c r="A467" s="97" t="s">
        <v>1621</v>
      </c>
      <c r="B467" s="97">
        <v>7.05654227E8</v>
      </c>
      <c r="C467" s="97" t="s">
        <v>1617</v>
      </c>
    </row>
    <row r="468">
      <c r="A468" s="97" t="s">
        <v>1622</v>
      </c>
      <c r="B468" s="97">
        <v>7.85135436E8</v>
      </c>
      <c r="C468" s="97" t="s">
        <v>1623</v>
      </c>
    </row>
    <row r="469">
      <c r="A469" s="97" t="s">
        <v>1624</v>
      </c>
      <c r="B469" s="97">
        <v>7.5969637E8</v>
      </c>
      <c r="C469" s="97" t="s">
        <v>1625</v>
      </c>
    </row>
    <row r="470">
      <c r="A470" s="97" t="s">
        <v>1626</v>
      </c>
      <c r="B470" s="97">
        <v>7.00197268E8</v>
      </c>
      <c r="C470" s="97" t="s">
        <v>1627</v>
      </c>
    </row>
    <row r="471">
      <c r="A471" s="97" t="s">
        <v>1628</v>
      </c>
      <c r="B471" s="97">
        <v>7.03521814E8</v>
      </c>
      <c r="C471" s="97" t="s">
        <v>1625</v>
      </c>
    </row>
    <row r="472">
      <c r="A472" s="97" t="s">
        <v>1629</v>
      </c>
      <c r="B472" s="97">
        <v>7.06214705E8</v>
      </c>
      <c r="C472" s="97" t="s">
        <v>911</v>
      </c>
    </row>
    <row r="473">
      <c r="A473" s="97" t="s">
        <v>1630</v>
      </c>
      <c r="B473" s="97">
        <v>7.04833867E8</v>
      </c>
      <c r="C473" s="97" t="s">
        <v>1631</v>
      </c>
    </row>
    <row r="474">
      <c r="A474" s="97" t="s">
        <v>1632</v>
      </c>
      <c r="B474" s="97">
        <v>7.04765447E8</v>
      </c>
      <c r="C474" s="97" t="s">
        <v>1631</v>
      </c>
    </row>
    <row r="475">
      <c r="A475" s="97" t="s">
        <v>1633</v>
      </c>
      <c r="B475" s="97">
        <v>7.74549192E8</v>
      </c>
      <c r="C475" s="97" t="s">
        <v>1631</v>
      </c>
    </row>
    <row r="476">
      <c r="A476" s="97" t="s">
        <v>1634</v>
      </c>
      <c r="B476" s="97">
        <v>7.026628544E9</v>
      </c>
      <c r="C476" s="97" t="s">
        <v>1631</v>
      </c>
    </row>
    <row r="477">
      <c r="A477" s="97" t="s">
        <v>1635</v>
      </c>
      <c r="B477" s="97">
        <v>7.01968824E8</v>
      </c>
      <c r="C477" s="97" t="s">
        <v>1631</v>
      </c>
    </row>
    <row r="478">
      <c r="A478" s="97" t="s">
        <v>1636</v>
      </c>
      <c r="B478" s="97">
        <v>7.553377139E9</v>
      </c>
      <c r="C478" s="97" t="s">
        <v>911</v>
      </c>
    </row>
    <row r="479">
      <c r="A479" s="97" t="s">
        <v>1637</v>
      </c>
      <c r="B479" s="97">
        <v>7.7197735E7</v>
      </c>
      <c r="C479" s="97" t="s">
        <v>911</v>
      </c>
    </row>
    <row r="480">
      <c r="A480" s="97" t="s">
        <v>1638</v>
      </c>
      <c r="B480" s="97">
        <v>7.85633314E8</v>
      </c>
      <c r="C480" s="97" t="s">
        <v>1631</v>
      </c>
    </row>
    <row r="481">
      <c r="A481" s="97" t="s">
        <v>1639</v>
      </c>
      <c r="B481" s="97">
        <v>7.7587774E7</v>
      </c>
      <c r="C481" s="97" t="s">
        <v>1631</v>
      </c>
    </row>
    <row r="482">
      <c r="A482" s="97" t="s">
        <v>1640</v>
      </c>
      <c r="B482" s="97">
        <v>7.70964601E8</v>
      </c>
      <c r="C482" s="97" t="s">
        <v>1641</v>
      </c>
    </row>
    <row r="483">
      <c r="A483" s="97" t="s">
        <v>1642</v>
      </c>
      <c r="B483" s="97">
        <v>7.52942316E8</v>
      </c>
      <c r="C483" s="97" t="s">
        <v>1643</v>
      </c>
    </row>
    <row r="484">
      <c r="A484" s="97" t="s">
        <v>1644</v>
      </c>
      <c r="B484" s="97">
        <v>7.02563142E8</v>
      </c>
      <c r="C484" s="97" t="s">
        <v>1641</v>
      </c>
    </row>
    <row r="485">
      <c r="A485" s="97" t="s">
        <v>1645</v>
      </c>
      <c r="B485" s="97">
        <v>7.55945677E8</v>
      </c>
      <c r="C485" s="97" t="s">
        <v>1643</v>
      </c>
    </row>
    <row r="486">
      <c r="A486" s="97" t="s">
        <v>1646</v>
      </c>
      <c r="B486" s="97">
        <v>7.05589882E8</v>
      </c>
      <c r="C486" s="97" t="s">
        <v>1641</v>
      </c>
    </row>
    <row r="487">
      <c r="A487" s="97" t="s">
        <v>1647</v>
      </c>
      <c r="B487" s="97">
        <v>7.51506094E8</v>
      </c>
      <c r="C487" s="97" t="s">
        <v>1641</v>
      </c>
    </row>
    <row r="488">
      <c r="A488" s="97" t="s">
        <v>1648</v>
      </c>
      <c r="B488" s="97">
        <v>7.83939567E8</v>
      </c>
      <c r="C488" s="97" t="s">
        <v>1643</v>
      </c>
    </row>
    <row r="489">
      <c r="A489" s="97" t="s">
        <v>1649</v>
      </c>
      <c r="B489" s="97">
        <v>7.60845679E8</v>
      </c>
      <c r="C489" s="97" t="s">
        <v>1643</v>
      </c>
    </row>
    <row r="490">
      <c r="A490" s="97" t="s">
        <v>1650</v>
      </c>
      <c r="B490" s="97">
        <v>7.0448982E7</v>
      </c>
      <c r="C490" s="97" t="s">
        <v>1641</v>
      </c>
    </row>
    <row r="491">
      <c r="A491" s="97" t="s">
        <v>1651</v>
      </c>
      <c r="B491" s="97">
        <v>7.5455974E8</v>
      </c>
      <c r="C491" s="97" t="s">
        <v>1652</v>
      </c>
    </row>
    <row r="492">
      <c r="A492" s="97" t="s">
        <v>1653</v>
      </c>
      <c r="B492" s="97">
        <v>7.04519222E8</v>
      </c>
      <c r="C492" s="97" t="s">
        <v>1652</v>
      </c>
    </row>
    <row r="493">
      <c r="A493" s="97" t="s">
        <v>1654</v>
      </c>
      <c r="B493" s="97">
        <v>7.76426484E8</v>
      </c>
      <c r="C493" s="97" t="s">
        <v>1652</v>
      </c>
    </row>
    <row r="494">
      <c r="A494" s="97" t="s">
        <v>1655</v>
      </c>
      <c r="B494" s="97">
        <v>7.57363248E8</v>
      </c>
      <c r="C494" s="97" t="s">
        <v>1652</v>
      </c>
    </row>
    <row r="495">
      <c r="A495" s="97" t="s">
        <v>1656</v>
      </c>
      <c r="B495" s="97">
        <v>7.52478932E8</v>
      </c>
      <c r="C495" s="97" t="s">
        <v>1652</v>
      </c>
    </row>
    <row r="496">
      <c r="A496" s="97" t="s">
        <v>1657</v>
      </c>
      <c r="B496" s="97">
        <v>7.553571647E9</v>
      </c>
      <c r="C496" s="97" t="s">
        <v>1652</v>
      </c>
    </row>
    <row r="497">
      <c r="A497" s="97" t="s">
        <v>1658</v>
      </c>
      <c r="B497" s="97">
        <v>7.72164529E8</v>
      </c>
      <c r="C497" s="97" t="s">
        <v>1652</v>
      </c>
    </row>
    <row r="498">
      <c r="A498" s="97" t="s">
        <v>1659</v>
      </c>
      <c r="B498" s="97">
        <v>7.88736135E8</v>
      </c>
      <c r="C498" s="97" t="s">
        <v>1652</v>
      </c>
    </row>
    <row r="499">
      <c r="A499" s="97" t="s">
        <v>1660</v>
      </c>
      <c r="B499" s="97">
        <v>7.8571501E8</v>
      </c>
      <c r="C499" s="97" t="s">
        <v>1652</v>
      </c>
    </row>
    <row r="500">
      <c r="A500" s="97" t="s">
        <v>1661</v>
      </c>
      <c r="B500" s="97">
        <v>7.92511775E8</v>
      </c>
      <c r="C500" s="97" t="s">
        <v>1652</v>
      </c>
    </row>
    <row r="501">
      <c r="A501" s="97" t="s">
        <v>1662</v>
      </c>
      <c r="B501" s="97">
        <v>7.55001543E8</v>
      </c>
      <c r="C501" s="97" t="s">
        <v>1663</v>
      </c>
    </row>
    <row r="502">
      <c r="A502" s="97" t="s">
        <v>1664</v>
      </c>
      <c r="B502" s="97">
        <v>7.82908951E8</v>
      </c>
      <c r="C502" s="97" t="s">
        <v>1663</v>
      </c>
    </row>
    <row r="503">
      <c r="A503" s="97" t="s">
        <v>1665</v>
      </c>
      <c r="B503" s="97">
        <v>7.50509197E8</v>
      </c>
      <c r="C503" s="97" t="s">
        <v>1663</v>
      </c>
    </row>
    <row r="504">
      <c r="A504" s="97" t="s">
        <v>1666</v>
      </c>
      <c r="B504" s="97">
        <v>7.01824616E8</v>
      </c>
      <c r="C504" s="97" t="s">
        <v>1663</v>
      </c>
    </row>
    <row r="505">
      <c r="A505" s="97" t="s">
        <v>1667</v>
      </c>
      <c r="B505" s="97">
        <v>7.50378394E8</v>
      </c>
      <c r="C505" s="97" t="s">
        <v>1663</v>
      </c>
    </row>
    <row r="506">
      <c r="A506" s="97" t="s">
        <v>1668</v>
      </c>
      <c r="B506" s="97">
        <v>7.74456887E8</v>
      </c>
      <c r="C506" s="97" t="s">
        <v>1663</v>
      </c>
    </row>
    <row r="507">
      <c r="A507" s="97" t="s">
        <v>1669</v>
      </c>
      <c r="B507" s="97">
        <v>7.54463289E8</v>
      </c>
      <c r="C507" s="97" t="s">
        <v>1663</v>
      </c>
    </row>
    <row r="508">
      <c r="A508" s="97" t="s">
        <v>1670</v>
      </c>
      <c r="B508" s="97">
        <v>7.567784E7</v>
      </c>
      <c r="C508" s="97" t="s">
        <v>1663</v>
      </c>
    </row>
    <row r="509">
      <c r="A509" s="97" t="s">
        <v>1671</v>
      </c>
      <c r="B509" s="97">
        <v>7.6895577E7</v>
      </c>
      <c r="C509" s="97" t="s">
        <v>1663</v>
      </c>
    </row>
    <row r="510">
      <c r="A510" s="97" t="s">
        <v>1672</v>
      </c>
      <c r="B510" s="97">
        <v>7.040202914E9</v>
      </c>
      <c r="C510" s="97" t="s">
        <v>696</v>
      </c>
    </row>
    <row r="511">
      <c r="A511" s="97" t="s">
        <v>1673</v>
      </c>
      <c r="B511" s="97">
        <v>7.5718454E8</v>
      </c>
      <c r="C511" s="97" t="s">
        <v>696</v>
      </c>
    </row>
    <row r="512">
      <c r="A512" s="97" t="s">
        <v>1674</v>
      </c>
      <c r="B512" s="97">
        <v>7.59007538E8</v>
      </c>
      <c r="C512" s="97" t="s">
        <v>696</v>
      </c>
    </row>
    <row r="513">
      <c r="A513" s="97" t="s">
        <v>1675</v>
      </c>
      <c r="B513" s="97">
        <v>7.88908586E8</v>
      </c>
      <c r="C513" s="97" t="s">
        <v>696</v>
      </c>
    </row>
    <row r="514">
      <c r="A514" s="97" t="s">
        <v>1676</v>
      </c>
      <c r="B514" s="97">
        <v>7.78450894E8</v>
      </c>
      <c r="C514" s="97" t="s">
        <v>1211</v>
      </c>
    </row>
    <row r="515">
      <c r="A515" s="97" t="s">
        <v>1677</v>
      </c>
      <c r="B515" s="97">
        <v>7.04020247E8</v>
      </c>
      <c r="C515" s="97" t="s">
        <v>1211</v>
      </c>
    </row>
    <row r="516">
      <c r="A516" s="97" t="s">
        <v>1678</v>
      </c>
      <c r="B516" s="97">
        <v>7.01113344E8</v>
      </c>
      <c r="C516" s="97" t="s">
        <v>1211</v>
      </c>
    </row>
    <row r="517">
      <c r="A517" s="97" t="s">
        <v>1679</v>
      </c>
      <c r="B517" s="97">
        <v>7.08189664E8</v>
      </c>
      <c r="C517" s="97" t="s">
        <v>1211</v>
      </c>
    </row>
    <row r="518">
      <c r="A518" s="97" t="s">
        <v>1680</v>
      </c>
      <c r="B518" s="97">
        <v>7.50770556E8</v>
      </c>
      <c r="C518" s="97" t="s">
        <v>1211</v>
      </c>
    </row>
    <row r="519">
      <c r="A519" s="97" t="s">
        <v>1681</v>
      </c>
      <c r="B519" s="97">
        <v>7.84507596E8</v>
      </c>
      <c r="C519" s="97" t="s">
        <v>1211</v>
      </c>
    </row>
    <row r="520">
      <c r="A520" s="97" t="s">
        <v>1682</v>
      </c>
      <c r="B520" s="97">
        <v>7.8584041E7</v>
      </c>
      <c r="C520" s="97" t="s">
        <v>1683</v>
      </c>
    </row>
    <row r="521">
      <c r="A521" s="97" t="s">
        <v>1684</v>
      </c>
      <c r="B521" s="97">
        <v>7.05222578E8</v>
      </c>
      <c r="C521" s="97" t="s">
        <v>1211</v>
      </c>
    </row>
    <row r="522">
      <c r="A522" s="97" t="s">
        <v>1685</v>
      </c>
      <c r="B522" s="97">
        <v>7.7845632E7</v>
      </c>
      <c r="C522" s="97" t="s">
        <v>1211</v>
      </c>
    </row>
    <row r="523">
      <c r="A523" s="97" t="s">
        <v>1686</v>
      </c>
      <c r="B523" s="97">
        <v>7.71491897E8</v>
      </c>
      <c r="C523" s="97" t="s">
        <v>1211</v>
      </c>
    </row>
    <row r="524">
      <c r="A524" s="97" t="s">
        <v>1687</v>
      </c>
      <c r="B524" s="97">
        <v>7.04411311E8</v>
      </c>
      <c r="C524" s="97" t="s">
        <v>1211</v>
      </c>
    </row>
    <row r="525">
      <c r="A525" s="97" t="s">
        <v>1688</v>
      </c>
      <c r="B525" s="97">
        <v>7.58429901E8</v>
      </c>
      <c r="C525" s="97" t="s">
        <v>1211</v>
      </c>
    </row>
    <row r="526">
      <c r="A526" s="97" t="s">
        <v>1689</v>
      </c>
      <c r="B526" s="97">
        <v>7.67640893E8</v>
      </c>
      <c r="C526" s="97" t="s">
        <v>1683</v>
      </c>
    </row>
    <row r="527">
      <c r="A527" s="97" t="s">
        <v>1690</v>
      </c>
      <c r="B527" s="97">
        <v>7.5778871E7</v>
      </c>
      <c r="C527" s="97" t="s">
        <v>1211</v>
      </c>
    </row>
    <row r="528">
      <c r="A528" s="97" t="s">
        <v>1691</v>
      </c>
      <c r="B528" s="97">
        <v>7.7954558891E10</v>
      </c>
      <c r="C528" s="97" t="s">
        <v>1683</v>
      </c>
    </row>
    <row r="529">
      <c r="A529" s="97" t="s">
        <v>1692</v>
      </c>
      <c r="B529" s="97">
        <v>7.55584457E8</v>
      </c>
      <c r="C529" s="97" t="s">
        <v>1683</v>
      </c>
    </row>
    <row r="530">
      <c r="A530" s="97" t="s">
        <v>1693</v>
      </c>
      <c r="B530" s="97">
        <v>7.74143378E8</v>
      </c>
      <c r="C530" s="97" t="s">
        <v>1694</v>
      </c>
    </row>
    <row r="531">
      <c r="A531" s="97" t="s">
        <v>1695</v>
      </c>
      <c r="B531" s="97">
        <v>7.04874678E8</v>
      </c>
      <c r="C531" s="97" t="s">
        <v>1625</v>
      </c>
    </row>
    <row r="532">
      <c r="A532" s="97" t="s">
        <v>1696</v>
      </c>
      <c r="B532" s="97">
        <v>7.56788794E8</v>
      </c>
      <c r="C532" s="97" t="s">
        <v>1625</v>
      </c>
    </row>
    <row r="533">
      <c r="A533" s="97" t="s">
        <v>1697</v>
      </c>
      <c r="B533" s="97">
        <v>7.04833786E8</v>
      </c>
      <c r="C533" s="97" t="s">
        <v>1625</v>
      </c>
    </row>
    <row r="534">
      <c r="A534" s="97" t="s">
        <v>1698</v>
      </c>
      <c r="B534" s="97">
        <v>7.0476446E7</v>
      </c>
      <c r="C534" s="97" t="s">
        <v>1625</v>
      </c>
    </row>
    <row r="535">
      <c r="A535" s="97" t="s">
        <v>1699</v>
      </c>
      <c r="B535" s="97">
        <v>7.7549294E7</v>
      </c>
      <c r="C535" s="97" t="s">
        <v>1625</v>
      </c>
    </row>
    <row r="536">
      <c r="A536" s="97" t="s">
        <v>1700</v>
      </c>
      <c r="B536" s="97">
        <v>7.01968744E8</v>
      </c>
      <c r="C536" s="97" t="s">
        <v>1129</v>
      </c>
    </row>
    <row r="537">
      <c r="A537" s="97" t="s">
        <v>1701</v>
      </c>
      <c r="B537" s="97">
        <v>7.5537735E7</v>
      </c>
      <c r="C537" s="97" t="s">
        <v>1129</v>
      </c>
    </row>
    <row r="538">
      <c r="A538" s="97" t="s">
        <v>1702</v>
      </c>
      <c r="B538" s="97">
        <v>7.76672084E8</v>
      </c>
      <c r="C538" s="97" t="s">
        <v>1703</v>
      </c>
    </row>
    <row r="539">
      <c r="A539" s="97" t="s">
        <v>1704</v>
      </c>
      <c r="B539" s="97">
        <v>7.7197735E7</v>
      </c>
      <c r="C539" s="97" t="s">
        <v>1703</v>
      </c>
    </row>
    <row r="540">
      <c r="A540" s="97" t="s">
        <v>1705</v>
      </c>
      <c r="B540" s="97">
        <v>7.74612841E8</v>
      </c>
      <c r="C540" s="97" t="s">
        <v>1703</v>
      </c>
    </row>
    <row r="541">
      <c r="A541" s="97" t="s">
        <v>1706</v>
      </c>
      <c r="B541" s="97">
        <v>7.856623312E9</v>
      </c>
      <c r="C541" s="97" t="s">
        <v>1703</v>
      </c>
    </row>
    <row r="542">
      <c r="A542" s="97" t="s">
        <v>1707</v>
      </c>
      <c r="B542" s="97">
        <v>7.52942316E8</v>
      </c>
      <c r="C542" s="97" t="s">
        <v>1703</v>
      </c>
    </row>
    <row r="543">
      <c r="A543" s="97" t="s">
        <v>1708</v>
      </c>
      <c r="B543" s="97">
        <v>7.77967918E8</v>
      </c>
      <c r="C543" s="97" t="s">
        <v>1703</v>
      </c>
    </row>
    <row r="544">
      <c r="A544" s="97" t="s">
        <v>1709</v>
      </c>
      <c r="B544" s="97">
        <v>7.02614558E8</v>
      </c>
      <c r="C544" s="97" t="s">
        <v>1703</v>
      </c>
    </row>
    <row r="545">
      <c r="A545" s="97" t="s">
        <v>1710</v>
      </c>
      <c r="B545" s="97">
        <v>7.59918047E8</v>
      </c>
      <c r="C545" s="97" t="s">
        <v>1703</v>
      </c>
    </row>
    <row r="546">
      <c r="A546" s="97" t="s">
        <v>1711</v>
      </c>
      <c r="B546" s="97">
        <v>7.89928378E8</v>
      </c>
      <c r="C546" s="97" t="s">
        <v>1703</v>
      </c>
    </row>
    <row r="547">
      <c r="A547" s="97" t="s">
        <v>1712</v>
      </c>
      <c r="B547" s="97">
        <v>7.55377166E8</v>
      </c>
      <c r="C547" s="97" t="s">
        <v>1703</v>
      </c>
    </row>
    <row r="548">
      <c r="A548" s="97" t="s">
        <v>1713</v>
      </c>
      <c r="B548" s="97">
        <v>7.88718475E8</v>
      </c>
      <c r="C548" s="97" t="s">
        <v>1703</v>
      </c>
    </row>
    <row r="549">
      <c r="A549" s="97" t="s">
        <v>1714</v>
      </c>
      <c r="B549" s="97">
        <v>7.57465784E8</v>
      </c>
      <c r="C549" s="97" t="s">
        <v>1703</v>
      </c>
    </row>
    <row r="550">
      <c r="A550" s="97" t="s">
        <v>1715</v>
      </c>
      <c r="B550" s="97">
        <v>7.408772239E9</v>
      </c>
      <c r="C550" s="97" t="s">
        <v>1716</v>
      </c>
    </row>
    <row r="551">
      <c r="A551" s="97" t="s">
        <v>1717</v>
      </c>
      <c r="B551" s="97">
        <v>7.81719925E8</v>
      </c>
      <c r="C551" s="97" t="s">
        <v>1716</v>
      </c>
    </row>
    <row r="552">
      <c r="A552" s="97" t="s">
        <v>1718</v>
      </c>
      <c r="B552" s="97">
        <v>7.73765981E8</v>
      </c>
      <c r="C552" s="97" t="s">
        <v>1719</v>
      </c>
    </row>
    <row r="553">
      <c r="A553" s="97" t="s">
        <v>1720</v>
      </c>
      <c r="B553" s="97">
        <v>7.00511784E8</v>
      </c>
      <c r="C553" s="97" t="s">
        <v>1719</v>
      </c>
    </row>
    <row r="554">
      <c r="A554" s="97" t="s">
        <v>1721</v>
      </c>
      <c r="B554" s="97">
        <v>7.01943454E8</v>
      </c>
      <c r="C554" s="97" t="s">
        <v>1719</v>
      </c>
    </row>
    <row r="555">
      <c r="A555" s="97" t="s">
        <v>1722</v>
      </c>
      <c r="B555" s="97">
        <v>7.51811147E8</v>
      </c>
      <c r="C555" s="97" t="s">
        <v>1719</v>
      </c>
    </row>
    <row r="556">
      <c r="A556" s="97" t="s">
        <v>1723</v>
      </c>
      <c r="B556" s="97">
        <v>7.50877269E8</v>
      </c>
      <c r="C556" s="97" t="s">
        <v>1719</v>
      </c>
    </row>
    <row r="557">
      <c r="A557" s="97" t="s">
        <v>1724</v>
      </c>
      <c r="B557" s="97">
        <v>7.8909177E7</v>
      </c>
      <c r="C557" s="97" t="s">
        <v>1719</v>
      </c>
    </row>
    <row r="558">
      <c r="A558" s="97" t="s">
        <v>1725</v>
      </c>
      <c r="B558" s="97">
        <v>7.474678E7</v>
      </c>
      <c r="C558" s="97" t="s">
        <v>1719</v>
      </c>
    </row>
    <row r="559">
      <c r="A559" s="97" t="s">
        <v>1726</v>
      </c>
      <c r="B559" s="97">
        <v>7.5801814E8</v>
      </c>
      <c r="C559" s="97" t="s">
        <v>1719</v>
      </c>
    </row>
    <row r="560">
      <c r="A560" s="97" t="s">
        <v>1727</v>
      </c>
      <c r="B560" s="97">
        <v>7.71834844E8</v>
      </c>
      <c r="C560" s="97" t="s">
        <v>1719</v>
      </c>
    </row>
    <row r="561">
      <c r="A561" s="97" t="s">
        <v>1728</v>
      </c>
      <c r="B561" s="97">
        <v>7.50321098E8</v>
      </c>
      <c r="C561" s="97" t="s">
        <v>1719</v>
      </c>
    </row>
    <row r="562">
      <c r="A562" s="97" t="s">
        <v>1729</v>
      </c>
      <c r="B562" s="97">
        <v>7.843233005E9</v>
      </c>
      <c r="C562" s="97" t="s">
        <v>1719</v>
      </c>
    </row>
    <row r="563">
      <c r="A563" s="97" t="s">
        <v>1730</v>
      </c>
      <c r="B563" s="97">
        <v>7.58397784E8</v>
      </c>
      <c r="C563" s="97" t="s">
        <v>1719</v>
      </c>
    </row>
    <row r="564">
      <c r="A564" s="97" t="s">
        <v>1731</v>
      </c>
      <c r="B564" s="97">
        <v>7.84080751E8</v>
      </c>
      <c r="C564" s="97" t="s">
        <v>1719</v>
      </c>
    </row>
    <row r="565">
      <c r="A565" s="97" t="s">
        <v>1732</v>
      </c>
      <c r="B565" s="97">
        <v>7.80760894E8</v>
      </c>
      <c r="C565" s="97" t="s">
        <v>1719</v>
      </c>
    </row>
    <row r="566">
      <c r="A566" s="97" t="s">
        <v>1733</v>
      </c>
      <c r="B566" s="97">
        <v>7.8077801E8</v>
      </c>
      <c r="C566" s="97" t="s">
        <v>1719</v>
      </c>
    </row>
    <row r="567">
      <c r="A567" s="97" t="s">
        <v>1734</v>
      </c>
      <c r="B567" s="97">
        <v>7.82469499E8</v>
      </c>
      <c r="C567" s="97" t="s">
        <v>1719</v>
      </c>
    </row>
    <row r="568">
      <c r="A568" s="97" t="s">
        <v>1735</v>
      </c>
      <c r="B568" s="97">
        <v>7.84042231E8</v>
      </c>
      <c r="C568" s="97" t="s">
        <v>1719</v>
      </c>
    </row>
    <row r="569">
      <c r="A569" s="97" t="s">
        <v>1736</v>
      </c>
      <c r="B569" s="97">
        <v>7.60774411E8</v>
      </c>
      <c r="C569" s="97" t="s">
        <v>1719</v>
      </c>
    </row>
    <row r="570">
      <c r="A570" s="97" t="s">
        <v>1737</v>
      </c>
      <c r="B570" s="97">
        <v>7.04504243E8</v>
      </c>
      <c r="C570" s="97" t="s">
        <v>1601</v>
      </c>
    </row>
    <row r="571">
      <c r="A571" s="97" t="s">
        <v>1738</v>
      </c>
      <c r="B571" s="97">
        <v>7.65212811E8</v>
      </c>
      <c r="C571" s="97" t="s">
        <v>1663</v>
      </c>
    </row>
    <row r="572">
      <c r="A572" s="97" t="s">
        <v>1739</v>
      </c>
      <c r="B572" s="97">
        <v>7.75051411E8</v>
      </c>
      <c r="C572" s="97" t="s">
        <v>1625</v>
      </c>
    </row>
    <row r="573">
      <c r="A573" s="97" t="s">
        <v>1740</v>
      </c>
      <c r="B573" s="97">
        <v>7.7627627E7</v>
      </c>
      <c r="C573" s="97" t="s">
        <v>1601</v>
      </c>
    </row>
    <row r="574">
      <c r="A574" s="97" t="s">
        <v>1741</v>
      </c>
      <c r="B574" s="97">
        <v>7.00140719E8</v>
      </c>
      <c r="C574" s="97" t="s">
        <v>1742</v>
      </c>
    </row>
    <row r="575">
      <c r="A575" s="97" t="s">
        <v>1743</v>
      </c>
      <c r="B575" s="97">
        <v>7.08310998E8</v>
      </c>
      <c r="C575" s="97" t="s">
        <v>1601</v>
      </c>
    </row>
    <row r="576">
      <c r="A576" s="97" t="s">
        <v>1744</v>
      </c>
      <c r="B576" s="97">
        <v>7.42399927E8</v>
      </c>
      <c r="C576" s="97" t="s">
        <v>1625</v>
      </c>
    </row>
    <row r="577">
      <c r="A577" s="97" t="s">
        <v>1745</v>
      </c>
      <c r="B577" s="97">
        <v>7.55373759E8</v>
      </c>
      <c r="C577" s="97" t="s">
        <v>1601</v>
      </c>
    </row>
    <row r="578">
      <c r="A578" s="97" t="s">
        <v>1746</v>
      </c>
      <c r="B578" s="97">
        <v>7.05391023E8</v>
      </c>
      <c r="C578" s="97" t="s">
        <v>1125</v>
      </c>
    </row>
    <row r="579">
      <c r="A579" s="97" t="s">
        <v>1747</v>
      </c>
      <c r="B579" s="97">
        <v>7.41378309E8</v>
      </c>
      <c r="C579" s="97" t="s">
        <v>713</v>
      </c>
    </row>
    <row r="580">
      <c r="A580" s="97" t="s">
        <v>1748</v>
      </c>
      <c r="B580" s="97">
        <v>7.44047768E8</v>
      </c>
      <c r="C580" s="97" t="s">
        <v>1125</v>
      </c>
    </row>
    <row r="581">
      <c r="A581" s="97" t="s">
        <v>1749</v>
      </c>
      <c r="B581" s="97">
        <v>7.01860579E8</v>
      </c>
      <c r="C581" s="97" t="s">
        <v>1625</v>
      </c>
    </row>
    <row r="582">
      <c r="A582" s="97" t="s">
        <v>1750</v>
      </c>
      <c r="B582" s="97">
        <v>7.08960517E8</v>
      </c>
      <c r="C582" s="97" t="s">
        <v>1515</v>
      </c>
    </row>
    <row r="583">
      <c r="A583" s="97" t="s">
        <v>1751</v>
      </c>
      <c r="B583" s="97">
        <v>7.04692869E8</v>
      </c>
      <c r="C583" s="97" t="s">
        <v>693</v>
      </c>
    </row>
    <row r="584">
      <c r="A584" s="97" t="s">
        <v>1752</v>
      </c>
      <c r="B584" s="97">
        <v>7.51250037E8</v>
      </c>
      <c r="C584" s="97" t="s">
        <v>1753</v>
      </c>
    </row>
    <row r="585">
      <c r="A585" s="97" t="s">
        <v>1754</v>
      </c>
      <c r="B585" s="97">
        <v>7.45483676E8</v>
      </c>
      <c r="C585" s="97" t="s">
        <v>1755</v>
      </c>
    </row>
    <row r="586">
      <c r="A586" s="97" t="s">
        <v>1756</v>
      </c>
      <c r="B586" s="97">
        <v>7.53932811E8</v>
      </c>
      <c r="C586" s="97" t="s">
        <v>1753</v>
      </c>
    </row>
    <row r="587">
      <c r="A587" s="97" t="s">
        <v>1757</v>
      </c>
      <c r="B587" s="97">
        <v>7.66264057E8</v>
      </c>
      <c r="C587" s="97" t="s">
        <v>1758</v>
      </c>
    </row>
    <row r="588">
      <c r="A588" s="97" t="s">
        <v>1759</v>
      </c>
      <c r="B588" s="97">
        <v>7.46163594E8</v>
      </c>
      <c r="C588" s="97" t="s">
        <v>1758</v>
      </c>
    </row>
    <row r="589">
      <c r="A589" s="97" t="s">
        <v>1760</v>
      </c>
      <c r="B589" s="97">
        <v>7.87569475E8</v>
      </c>
      <c r="C589" s="97" t="s">
        <v>1758</v>
      </c>
    </row>
    <row r="590">
      <c r="A590" s="97" t="s">
        <v>1761</v>
      </c>
      <c r="B590" s="97">
        <v>7.54505416E8</v>
      </c>
      <c r="C590" s="97" t="s">
        <v>1762</v>
      </c>
    </row>
    <row r="591">
      <c r="A591" s="97" t="s">
        <v>1763</v>
      </c>
      <c r="B591" s="97">
        <v>7.003456E8</v>
      </c>
      <c r="C591" s="97" t="s">
        <v>1625</v>
      </c>
    </row>
    <row r="592">
      <c r="A592" s="97" t="s">
        <v>1764</v>
      </c>
      <c r="B592" s="97">
        <v>7.58388479E8</v>
      </c>
      <c r="C592" s="97" t="s">
        <v>1765</v>
      </c>
    </row>
    <row r="593">
      <c r="A593" s="97" t="s">
        <v>1766</v>
      </c>
      <c r="B593" s="97">
        <v>7.8671379E8</v>
      </c>
      <c r="C593" s="97" t="s">
        <v>861</v>
      </c>
    </row>
    <row r="594">
      <c r="A594" s="97" t="s">
        <v>1767</v>
      </c>
      <c r="B594" s="97">
        <v>7.05921294E8</v>
      </c>
      <c r="C594" s="97" t="s">
        <v>1601</v>
      </c>
    </row>
    <row r="595">
      <c r="A595" s="97" t="s">
        <v>1768</v>
      </c>
      <c r="B595" s="97">
        <v>7.00312263E8</v>
      </c>
      <c r="C595" s="97" t="s">
        <v>1125</v>
      </c>
    </row>
    <row r="596">
      <c r="A596" s="97" t="s">
        <v>1769</v>
      </c>
      <c r="B596" s="97">
        <v>7.48223451E8</v>
      </c>
      <c r="C596" s="97" t="s">
        <v>1125</v>
      </c>
    </row>
    <row r="597">
      <c r="A597" s="97" t="s">
        <v>1770</v>
      </c>
      <c r="B597" s="97">
        <v>7.76096696E9</v>
      </c>
      <c r="C597" s="97" t="s">
        <v>713</v>
      </c>
    </row>
    <row r="598">
      <c r="A598" s="97" t="s">
        <v>1771</v>
      </c>
      <c r="B598" s="97">
        <v>7.84654128E8</v>
      </c>
      <c r="C598" s="97" t="s">
        <v>1625</v>
      </c>
    </row>
    <row r="599">
      <c r="A599" s="97" t="s">
        <v>1772</v>
      </c>
      <c r="B599" s="97">
        <v>7.75140013E8</v>
      </c>
      <c r="C599" s="97" t="s">
        <v>1625</v>
      </c>
    </row>
    <row r="600">
      <c r="A600" s="97" t="s">
        <v>1773</v>
      </c>
      <c r="B600" s="97">
        <v>7.426122893E9</v>
      </c>
      <c r="C600" s="97" t="s">
        <v>1625</v>
      </c>
    </row>
    <row r="601">
      <c r="A601" s="97" t="s">
        <v>1774</v>
      </c>
      <c r="B601" s="97">
        <v>7.00899972E8</v>
      </c>
      <c r="C601" s="97" t="s">
        <v>1125</v>
      </c>
    </row>
    <row r="602">
      <c r="A602" s="97" t="s">
        <v>1775</v>
      </c>
      <c r="B602" s="97">
        <v>7.56953049E8</v>
      </c>
      <c r="C602" s="97" t="s">
        <v>1125</v>
      </c>
    </row>
    <row r="603">
      <c r="A603" s="97" t="s">
        <v>1776</v>
      </c>
      <c r="B603" s="97">
        <v>7.56906439E8</v>
      </c>
      <c r="C603" s="97" t="s">
        <v>1625</v>
      </c>
    </row>
    <row r="604">
      <c r="A604" s="97" t="s">
        <v>1777</v>
      </c>
      <c r="B604" s="97">
        <v>7.4812292E8</v>
      </c>
      <c r="C604" s="97" t="s">
        <v>1625</v>
      </c>
    </row>
    <row r="605">
      <c r="A605" s="97" t="s">
        <v>1778</v>
      </c>
      <c r="B605" s="97">
        <v>7.08459613E8</v>
      </c>
      <c r="C605" s="97" t="s">
        <v>696</v>
      </c>
    </row>
    <row r="606">
      <c r="A606" s="97" t="s">
        <v>1779</v>
      </c>
      <c r="B606" s="97">
        <v>7.75343949E8</v>
      </c>
      <c r="C606" s="97" t="s">
        <v>1780</v>
      </c>
    </row>
    <row r="607">
      <c r="A607" s="97" t="s">
        <v>1781</v>
      </c>
      <c r="B607" s="97">
        <v>7.01414255E8</v>
      </c>
      <c r="C607" s="97" t="s">
        <v>693</v>
      </c>
    </row>
    <row r="608">
      <c r="A608" s="97" t="s">
        <v>1782</v>
      </c>
      <c r="B608" s="97">
        <v>7.58710142E8</v>
      </c>
      <c r="C608" s="97" t="s">
        <v>696</v>
      </c>
    </row>
    <row r="609">
      <c r="A609" s="97" t="s">
        <v>1783</v>
      </c>
      <c r="B609" s="97">
        <v>7.03858462E8</v>
      </c>
      <c r="C609" s="97" t="s">
        <v>1784</v>
      </c>
    </row>
    <row r="610">
      <c r="A610" s="97" t="s">
        <v>1785</v>
      </c>
      <c r="B610" s="97">
        <v>7.04778549E8</v>
      </c>
      <c r="C610" s="97" t="s">
        <v>1601</v>
      </c>
    </row>
    <row r="611">
      <c r="A611" s="97" t="s">
        <v>1786</v>
      </c>
      <c r="B611" s="97">
        <v>7.47492022E8</v>
      </c>
      <c r="C611" s="97" t="s">
        <v>1601</v>
      </c>
    </row>
    <row r="612">
      <c r="A612" s="97" t="s">
        <v>1787</v>
      </c>
      <c r="B612" s="97">
        <v>7.098634229E9</v>
      </c>
      <c r="C612" s="97" t="s">
        <v>1601</v>
      </c>
    </row>
    <row r="613">
      <c r="A613" s="97" t="s">
        <v>1788</v>
      </c>
      <c r="B613" s="97">
        <v>7.451855791E9</v>
      </c>
      <c r="C613" s="97" t="s">
        <v>1601</v>
      </c>
    </row>
    <row r="614">
      <c r="A614" s="97" t="s">
        <v>1789</v>
      </c>
      <c r="B614" s="97">
        <v>7.59835791E8</v>
      </c>
      <c r="C614" s="97" t="s">
        <v>1601</v>
      </c>
    </row>
    <row r="615">
      <c r="A615" s="97" t="s">
        <v>1790</v>
      </c>
      <c r="B615" s="97">
        <v>7.59880425E8</v>
      </c>
      <c r="C615" s="97" t="s">
        <v>1601</v>
      </c>
    </row>
    <row r="616">
      <c r="A616" s="97" t="s">
        <v>1791</v>
      </c>
      <c r="B616" s="97">
        <v>7.4339093E8</v>
      </c>
      <c r="C616" s="97" t="s">
        <v>1601</v>
      </c>
    </row>
    <row r="617">
      <c r="A617" s="97" t="s">
        <v>1792</v>
      </c>
      <c r="B617" s="97">
        <v>7.08516717E8</v>
      </c>
      <c r="C617" s="97" t="s">
        <v>1793</v>
      </c>
    </row>
    <row r="618">
      <c r="A618" s="97" t="s">
        <v>1794</v>
      </c>
      <c r="B618" s="97">
        <v>7.05626439E8</v>
      </c>
      <c r="C618" s="97" t="s">
        <v>1601</v>
      </c>
    </row>
    <row r="619">
      <c r="A619" s="97" t="s">
        <v>1795</v>
      </c>
      <c r="B619" s="97">
        <v>7.56577813E8</v>
      </c>
      <c r="C619" s="97" t="s">
        <v>1601</v>
      </c>
    </row>
    <row r="620">
      <c r="A620" s="97" t="s">
        <v>1796</v>
      </c>
      <c r="B620" s="97">
        <v>7.02823852E8</v>
      </c>
      <c r="C620" s="97" t="s">
        <v>1601</v>
      </c>
    </row>
    <row r="621">
      <c r="A621" s="97" t="s">
        <v>1797</v>
      </c>
      <c r="B621" s="97">
        <v>7.40799268E8</v>
      </c>
      <c r="C621" s="97" t="s">
        <v>1601</v>
      </c>
    </row>
    <row r="622">
      <c r="A622" s="97" t="s">
        <v>1798</v>
      </c>
      <c r="B622" s="97">
        <v>7.61294193E8</v>
      </c>
      <c r="C622" s="97" t="s">
        <v>1601</v>
      </c>
    </row>
    <row r="623">
      <c r="A623" s="97" t="s">
        <v>1799</v>
      </c>
      <c r="B623" s="97">
        <v>7.09573413E8</v>
      </c>
      <c r="C623" s="97" t="s">
        <v>1601</v>
      </c>
    </row>
    <row r="624">
      <c r="A624" s="97" t="s">
        <v>1800</v>
      </c>
      <c r="B624" s="97">
        <v>7.86084635E8</v>
      </c>
      <c r="C624" s="97" t="s">
        <v>1601</v>
      </c>
    </row>
    <row r="625">
      <c r="A625" s="97" t="s">
        <v>1801</v>
      </c>
      <c r="B625" s="97">
        <v>7.53064129E8</v>
      </c>
      <c r="C625" s="97" t="s">
        <v>1601</v>
      </c>
    </row>
    <row r="626">
      <c r="A626" s="97" t="s">
        <v>1802</v>
      </c>
      <c r="B626" s="97">
        <v>7.74355704E8</v>
      </c>
      <c r="C626" s="97" t="s">
        <v>1601</v>
      </c>
    </row>
    <row r="627">
      <c r="A627" s="97" t="s">
        <v>1803</v>
      </c>
      <c r="B627" s="97">
        <v>7.68909151E8</v>
      </c>
      <c r="C627" s="97" t="s">
        <v>1601</v>
      </c>
    </row>
    <row r="628">
      <c r="A628" s="97" t="s">
        <v>1804</v>
      </c>
      <c r="B628" s="97">
        <v>7.57403726E8</v>
      </c>
      <c r="C628" s="97" t="s">
        <v>1601</v>
      </c>
    </row>
    <row r="629">
      <c r="A629" s="97" t="s">
        <v>1805</v>
      </c>
      <c r="B629" s="97">
        <v>7.74344541E8</v>
      </c>
      <c r="C629" s="97" t="s">
        <v>1601</v>
      </c>
    </row>
    <row r="630">
      <c r="A630" s="97" t="s">
        <v>1806</v>
      </c>
      <c r="B630" s="97">
        <v>7.01138217E8</v>
      </c>
      <c r="C630" s="97" t="s">
        <v>1601</v>
      </c>
    </row>
    <row r="631">
      <c r="A631" s="97" t="s">
        <v>1807</v>
      </c>
      <c r="B631" s="97">
        <v>7.5163396E8</v>
      </c>
      <c r="C631" s="97" t="s">
        <v>1601</v>
      </c>
    </row>
    <row r="632">
      <c r="A632" s="97" t="s">
        <v>1808</v>
      </c>
      <c r="B632" s="97">
        <v>7.03680252E8</v>
      </c>
      <c r="C632" s="97" t="s">
        <v>1601</v>
      </c>
    </row>
    <row r="633">
      <c r="A633" s="97" t="s">
        <v>1809</v>
      </c>
      <c r="B633" s="97">
        <v>7.47733952E8</v>
      </c>
      <c r="C633" s="97" t="s">
        <v>1601</v>
      </c>
    </row>
    <row r="634">
      <c r="A634" s="97" t="s">
        <v>1810</v>
      </c>
      <c r="B634" s="97">
        <v>7.74385964E8</v>
      </c>
      <c r="C634" s="97" t="s">
        <v>1601</v>
      </c>
    </row>
    <row r="635">
      <c r="A635" s="97" t="s">
        <v>1811</v>
      </c>
      <c r="B635" s="97">
        <v>7.52512894E8</v>
      </c>
      <c r="C635" s="97" t="s">
        <v>1601</v>
      </c>
    </row>
    <row r="636">
      <c r="A636" s="97" t="s">
        <v>1812</v>
      </c>
      <c r="B636" s="97">
        <v>7.45286706E8</v>
      </c>
      <c r="C636" s="97" t="s">
        <v>1601</v>
      </c>
    </row>
    <row r="637">
      <c r="A637" s="97" t="s">
        <v>1813</v>
      </c>
      <c r="B637" s="97">
        <v>7.0913013E8</v>
      </c>
      <c r="C637" s="97" t="s">
        <v>1601</v>
      </c>
    </row>
    <row r="638">
      <c r="A638" s="97" t="s">
        <v>1814</v>
      </c>
      <c r="B638" s="97">
        <v>7.74516912E8</v>
      </c>
      <c r="C638" s="97" t="s">
        <v>1601</v>
      </c>
    </row>
    <row r="639">
      <c r="A639" s="97" t="s">
        <v>1815</v>
      </c>
      <c r="B639" s="97">
        <v>7.4025889E8</v>
      </c>
      <c r="C639" s="97" t="s">
        <v>1601</v>
      </c>
    </row>
    <row r="640">
      <c r="A640" s="97" t="s">
        <v>1816</v>
      </c>
      <c r="B640" s="97">
        <v>7.04500701E8</v>
      </c>
      <c r="C640" s="97" t="s">
        <v>1601</v>
      </c>
    </row>
    <row r="641">
      <c r="A641" s="97" t="s">
        <v>1817</v>
      </c>
      <c r="B641" s="97">
        <v>7.48409797E8</v>
      </c>
      <c r="C641" s="97" t="s">
        <v>1601</v>
      </c>
    </row>
    <row r="642">
      <c r="A642" s="97" t="s">
        <v>1818</v>
      </c>
      <c r="B642" s="97">
        <v>7.66914954E8</v>
      </c>
      <c r="C642" s="97" t="s">
        <v>1601</v>
      </c>
    </row>
    <row r="643">
      <c r="A643" s="97" t="s">
        <v>1819</v>
      </c>
      <c r="B643" s="97">
        <v>7.07115971E8</v>
      </c>
      <c r="C643" s="97" t="s">
        <v>1601</v>
      </c>
    </row>
    <row r="644">
      <c r="A644" s="97" t="s">
        <v>1820</v>
      </c>
      <c r="B644" s="97">
        <v>7.46818725E8</v>
      </c>
      <c r="C644" s="97" t="s">
        <v>1601</v>
      </c>
    </row>
    <row r="645">
      <c r="A645" s="97" t="s">
        <v>1821</v>
      </c>
      <c r="B645" s="97">
        <v>7.73110423E8</v>
      </c>
      <c r="C645" s="97" t="s">
        <v>1601</v>
      </c>
    </row>
    <row r="646">
      <c r="A646" s="97" t="s">
        <v>1822</v>
      </c>
      <c r="B646" s="97">
        <v>7.76776618E8</v>
      </c>
      <c r="C646" s="97" t="s">
        <v>1601</v>
      </c>
    </row>
    <row r="647">
      <c r="A647" s="97" t="s">
        <v>1823</v>
      </c>
      <c r="B647" s="97">
        <v>7.4086465E8</v>
      </c>
      <c r="C647" s="97" t="s">
        <v>1601</v>
      </c>
    </row>
    <row r="648">
      <c r="A648" s="97" t="s">
        <v>1824</v>
      </c>
      <c r="B648" s="97">
        <v>7.01401845E8</v>
      </c>
      <c r="C648" s="97" t="s">
        <v>1663</v>
      </c>
    </row>
    <row r="649">
      <c r="A649" s="97" t="s">
        <v>1825</v>
      </c>
      <c r="B649" s="97">
        <v>7.08469651E8</v>
      </c>
      <c r="C649" s="97" t="s">
        <v>1663</v>
      </c>
    </row>
    <row r="650">
      <c r="A650" s="97" t="s">
        <v>1826</v>
      </c>
      <c r="B650" s="97">
        <v>7.0337222E8</v>
      </c>
      <c r="C650" s="97" t="s">
        <v>1601</v>
      </c>
    </row>
    <row r="651">
      <c r="A651" s="97" t="s">
        <v>1827</v>
      </c>
      <c r="B651" s="97">
        <v>7.0337222E8</v>
      </c>
      <c r="C651" s="97" t="s">
        <v>1625</v>
      </c>
    </row>
    <row r="652">
      <c r="A652" s="97" t="s">
        <v>1828</v>
      </c>
      <c r="B652" s="97">
        <v>7.51975983E8</v>
      </c>
      <c r="C652" s="97" t="s">
        <v>1758</v>
      </c>
    </row>
    <row r="653">
      <c r="A653" s="97" t="s">
        <v>1829</v>
      </c>
      <c r="B653" s="97">
        <v>7.53427428E8</v>
      </c>
      <c r="C653" s="97" t="s">
        <v>1758</v>
      </c>
    </row>
    <row r="654">
      <c r="A654" s="97" t="s">
        <v>1830</v>
      </c>
      <c r="B654" s="97">
        <v>7.08573148E8</v>
      </c>
      <c r="C654" s="97" t="s">
        <v>1742</v>
      </c>
    </row>
    <row r="655">
      <c r="A655" s="97" t="s">
        <v>1831</v>
      </c>
      <c r="B655" s="97">
        <v>7.06670993E8</v>
      </c>
      <c r="C655" s="97" t="s">
        <v>1832</v>
      </c>
    </row>
    <row r="656">
      <c r="A656" s="97" t="s">
        <v>1833</v>
      </c>
      <c r="B656" s="97">
        <v>7.08403367E8</v>
      </c>
      <c r="C656" s="97" t="s">
        <v>1601</v>
      </c>
    </row>
    <row r="657">
      <c r="A657" s="97" t="s">
        <v>1834</v>
      </c>
      <c r="B657" s="97">
        <v>7.08999618E8</v>
      </c>
      <c r="C657" s="97" t="s">
        <v>1601</v>
      </c>
    </row>
    <row r="658">
      <c r="A658" s="97" t="s">
        <v>1835</v>
      </c>
      <c r="B658" s="97">
        <v>7.56919004E8</v>
      </c>
      <c r="C658" s="97" t="s">
        <v>1601</v>
      </c>
    </row>
    <row r="659">
      <c r="A659" s="97" t="s">
        <v>1836</v>
      </c>
      <c r="B659" s="97">
        <v>7.40851162E8</v>
      </c>
      <c r="C659" s="97" t="s">
        <v>1601</v>
      </c>
    </row>
    <row r="660">
      <c r="A660" s="97" t="s">
        <v>1837</v>
      </c>
      <c r="B660" s="97">
        <v>7.81045365E8</v>
      </c>
      <c r="C660" s="97" t="s">
        <v>1601</v>
      </c>
    </row>
    <row r="661">
      <c r="A661" s="97" t="s">
        <v>1838</v>
      </c>
      <c r="B661" s="97">
        <v>7.05087853E8</v>
      </c>
      <c r="C661" s="97" t="s">
        <v>1601</v>
      </c>
    </row>
    <row r="662">
      <c r="A662" s="97" t="s">
        <v>1839</v>
      </c>
      <c r="B662" s="97">
        <v>7.77536371E8</v>
      </c>
      <c r="C662" s="97" t="s">
        <v>1601</v>
      </c>
    </row>
    <row r="663">
      <c r="A663" s="97" t="s">
        <v>1840</v>
      </c>
      <c r="B663" s="97">
        <v>7.54508016E8</v>
      </c>
      <c r="C663" s="97" t="s">
        <v>1601</v>
      </c>
    </row>
    <row r="664">
      <c r="A664" s="97" t="s">
        <v>1841</v>
      </c>
      <c r="B664" s="97">
        <v>7.80659799E8</v>
      </c>
      <c r="C664" s="97" t="s">
        <v>1842</v>
      </c>
    </row>
    <row r="665">
      <c r="A665" s="97" t="s">
        <v>1843</v>
      </c>
      <c r="B665" s="97">
        <v>7.81874189E8</v>
      </c>
      <c r="C665" s="97" t="s">
        <v>1703</v>
      </c>
    </row>
    <row r="666">
      <c r="A666" s="97" t="s">
        <v>1844</v>
      </c>
      <c r="B666" s="97">
        <v>7.59589332E8</v>
      </c>
      <c r="C666" s="97" t="s">
        <v>1601</v>
      </c>
    </row>
    <row r="667">
      <c r="A667" s="97" t="s">
        <v>1845</v>
      </c>
      <c r="B667" s="97">
        <v>7.57915777E8</v>
      </c>
      <c r="C667" s="97" t="s">
        <v>1601</v>
      </c>
    </row>
    <row r="668">
      <c r="A668" s="97" t="s">
        <v>1846</v>
      </c>
      <c r="B668" s="97">
        <v>7.74726782E8</v>
      </c>
      <c r="C668" s="97" t="s">
        <v>1601</v>
      </c>
    </row>
    <row r="669">
      <c r="A669" s="97" t="s">
        <v>1847</v>
      </c>
      <c r="B669" s="97">
        <v>7.76533996E8</v>
      </c>
      <c r="C669" s="97" t="s">
        <v>1848</v>
      </c>
    </row>
    <row r="670">
      <c r="A670" s="97" t="s">
        <v>1849</v>
      </c>
      <c r="B670" s="97">
        <v>7.55386578E8</v>
      </c>
      <c r="C670" s="97" t="s">
        <v>1631</v>
      </c>
    </row>
    <row r="671">
      <c r="A671" s="97" t="s">
        <v>1850</v>
      </c>
      <c r="B671" s="97">
        <v>7.79471481E8</v>
      </c>
      <c r="C671" s="97" t="s">
        <v>1652</v>
      </c>
    </row>
    <row r="672">
      <c r="A672" s="97" t="s">
        <v>1851</v>
      </c>
      <c r="B672" s="97">
        <v>7.06582159E8</v>
      </c>
      <c r="C672" s="97" t="s">
        <v>1242</v>
      </c>
    </row>
    <row r="673">
      <c r="A673" s="97" t="s">
        <v>1852</v>
      </c>
      <c r="B673" s="97">
        <v>7.02557672E8</v>
      </c>
      <c r="C673" s="97" t="s">
        <v>1601</v>
      </c>
    </row>
    <row r="674">
      <c r="A674" s="97" t="s">
        <v>1853</v>
      </c>
      <c r="B674" s="97">
        <v>7.08912552E8</v>
      </c>
      <c r="C674" s="97" t="s">
        <v>1663</v>
      </c>
    </row>
    <row r="675">
      <c r="A675" s="97" t="s">
        <v>1854</v>
      </c>
      <c r="B675" s="97">
        <v>7.62165961E8</v>
      </c>
      <c r="C675" s="97" t="s">
        <v>920</v>
      </c>
    </row>
    <row r="676">
      <c r="A676" s="97" t="s">
        <v>1855</v>
      </c>
      <c r="B676" s="97">
        <v>7.44976368E8</v>
      </c>
      <c r="C676" s="97" t="s">
        <v>1856</v>
      </c>
    </row>
    <row r="677">
      <c r="A677" s="97" t="s">
        <v>1857</v>
      </c>
      <c r="B677" s="97">
        <v>7.05751981E8</v>
      </c>
      <c r="C677" s="97" t="s">
        <v>1858</v>
      </c>
    </row>
    <row r="678">
      <c r="A678" s="97" t="s">
        <v>1859</v>
      </c>
      <c r="B678" s="97">
        <v>7.52727946E8</v>
      </c>
      <c r="C678" s="97" t="s">
        <v>1125</v>
      </c>
    </row>
    <row r="679">
      <c r="A679" s="97" t="s">
        <v>1860</v>
      </c>
      <c r="B679" s="97">
        <v>7.64639157E8</v>
      </c>
      <c r="C679" s="97" t="s">
        <v>713</v>
      </c>
    </row>
    <row r="680">
      <c r="A680" s="97" t="s">
        <v>1861</v>
      </c>
      <c r="B680" s="97">
        <v>7.68593533E8</v>
      </c>
      <c r="C680" s="97" t="s">
        <v>1601</v>
      </c>
    </row>
    <row r="681">
      <c r="A681" s="97" t="s">
        <v>1862</v>
      </c>
      <c r="B681" s="97">
        <v>7.41024394E8</v>
      </c>
      <c r="C681" s="97" t="s">
        <v>1856</v>
      </c>
    </row>
    <row r="682">
      <c r="A682" s="97" t="s">
        <v>1863</v>
      </c>
      <c r="B682" s="97">
        <v>7.03737818E8</v>
      </c>
      <c r="C682" s="97" t="s">
        <v>1601</v>
      </c>
    </row>
    <row r="683">
      <c r="A683" s="97" t="s">
        <v>1864</v>
      </c>
      <c r="B683" s="97">
        <v>7.47829574E8</v>
      </c>
      <c r="C683" s="97" t="s">
        <v>1865</v>
      </c>
    </row>
    <row r="684">
      <c r="A684" s="97" t="s">
        <v>1866</v>
      </c>
      <c r="B684" s="97">
        <v>7.06621789E8</v>
      </c>
      <c r="C684" s="97" t="s">
        <v>1625</v>
      </c>
    </row>
    <row r="685">
      <c r="A685" s="97" t="s">
        <v>1867</v>
      </c>
      <c r="B685" s="97">
        <v>7.02545986E8</v>
      </c>
      <c r="C685" s="97" t="s">
        <v>1832</v>
      </c>
    </row>
    <row r="686">
      <c r="A686" s="97" t="s">
        <v>1868</v>
      </c>
      <c r="B686" s="97">
        <v>7.76822179E8</v>
      </c>
      <c r="C686" s="97" t="s">
        <v>1601</v>
      </c>
    </row>
    <row r="687">
      <c r="A687" s="97" t="s">
        <v>1869</v>
      </c>
      <c r="B687" s="97">
        <v>7.822891E8</v>
      </c>
      <c r="C687" s="97" t="s">
        <v>1832</v>
      </c>
    </row>
    <row r="688">
      <c r="A688" s="97" t="s">
        <v>1870</v>
      </c>
      <c r="B688" s="97">
        <v>7.50847623E8</v>
      </c>
      <c r="C688" s="97" t="s">
        <v>1625</v>
      </c>
    </row>
    <row r="689">
      <c r="A689" s="97" t="s">
        <v>1871</v>
      </c>
      <c r="B689" s="97">
        <v>7.7230989E8</v>
      </c>
      <c r="C689" s="97" t="s">
        <v>1663</v>
      </c>
    </row>
    <row r="690">
      <c r="A690" s="97" t="s">
        <v>1872</v>
      </c>
      <c r="B690" s="97">
        <v>7.7230989E8</v>
      </c>
      <c r="C690" s="97" t="s">
        <v>1663</v>
      </c>
    </row>
    <row r="691">
      <c r="A691" s="97" t="s">
        <v>1873</v>
      </c>
      <c r="B691" s="97">
        <v>7.46535921E8</v>
      </c>
      <c r="C691" s="97" t="s">
        <v>1663</v>
      </c>
    </row>
    <row r="692">
      <c r="A692" s="97" t="s">
        <v>1874</v>
      </c>
      <c r="B692" s="97">
        <v>7.46975516E8</v>
      </c>
      <c r="C692" s="97" t="s">
        <v>1663</v>
      </c>
    </row>
    <row r="693">
      <c r="A693" s="97" t="s">
        <v>1875</v>
      </c>
      <c r="B693" s="97">
        <v>7.6525012E8</v>
      </c>
      <c r="C693" s="97" t="s">
        <v>1663</v>
      </c>
    </row>
    <row r="694">
      <c r="A694" s="97" t="s">
        <v>1876</v>
      </c>
      <c r="B694" s="97">
        <v>7.65434984E8</v>
      </c>
      <c r="C694" s="97" t="s">
        <v>1663</v>
      </c>
    </row>
    <row r="695">
      <c r="A695" s="97" t="s">
        <v>1877</v>
      </c>
      <c r="B695" s="97">
        <v>7.46588692E8</v>
      </c>
      <c r="C695" s="97" t="s">
        <v>1663</v>
      </c>
    </row>
    <row r="696">
      <c r="A696" s="97" t="s">
        <v>1878</v>
      </c>
      <c r="B696" s="97">
        <v>7.53059824E8</v>
      </c>
      <c r="C696" s="97" t="s">
        <v>1663</v>
      </c>
    </row>
    <row r="697">
      <c r="A697" s="97" t="s">
        <v>1879</v>
      </c>
      <c r="B697" s="97">
        <v>7.56900141E8</v>
      </c>
      <c r="C697" s="97" t="s">
        <v>1663</v>
      </c>
    </row>
    <row r="698">
      <c r="A698" s="97" t="s">
        <v>1880</v>
      </c>
      <c r="B698" s="97">
        <v>7.89494028E8</v>
      </c>
      <c r="C698" s="97" t="s">
        <v>1663</v>
      </c>
    </row>
    <row r="699">
      <c r="A699" s="97" t="s">
        <v>1881</v>
      </c>
      <c r="B699" s="97">
        <v>7.54920413E8</v>
      </c>
      <c r="C699" s="97" t="s">
        <v>1663</v>
      </c>
    </row>
    <row r="700">
      <c r="A700" s="97" t="s">
        <v>1882</v>
      </c>
      <c r="B700" s="97">
        <v>7.42482133E8</v>
      </c>
      <c r="C700" s="97" t="s">
        <v>1663</v>
      </c>
    </row>
    <row r="701">
      <c r="A701" s="97" t="s">
        <v>1883</v>
      </c>
      <c r="B701" s="97">
        <v>7.7574855E8</v>
      </c>
      <c r="C701" s="97" t="s">
        <v>1663</v>
      </c>
    </row>
    <row r="702">
      <c r="A702" s="97" t="s">
        <v>1884</v>
      </c>
      <c r="B702" s="97">
        <v>7.00612344E8</v>
      </c>
      <c r="C702" s="97" t="s">
        <v>1663</v>
      </c>
    </row>
    <row r="703">
      <c r="A703" s="97" t="s">
        <v>1885</v>
      </c>
      <c r="B703" s="97">
        <v>7.50169586E8</v>
      </c>
      <c r="C703" s="97" t="s">
        <v>1663</v>
      </c>
    </row>
    <row r="704">
      <c r="A704" s="97" t="s">
        <v>1886</v>
      </c>
      <c r="B704" s="97">
        <v>7.02786745E8</v>
      </c>
      <c r="C704" s="97" t="s">
        <v>1663</v>
      </c>
    </row>
    <row r="705">
      <c r="A705" s="97" t="s">
        <v>1887</v>
      </c>
      <c r="B705" s="97">
        <v>7.08820593E8</v>
      </c>
      <c r="C705" s="97" t="s">
        <v>1601</v>
      </c>
    </row>
    <row r="706">
      <c r="A706" s="97" t="s">
        <v>1888</v>
      </c>
      <c r="B706" s="97">
        <v>7.03700754E8</v>
      </c>
      <c r="C706" s="97" t="s">
        <v>1663</v>
      </c>
    </row>
    <row r="707">
      <c r="A707" s="97" t="s">
        <v>1889</v>
      </c>
      <c r="B707" s="97">
        <v>7.44231632E8</v>
      </c>
      <c r="C707" s="97" t="s">
        <v>1601</v>
      </c>
    </row>
    <row r="708">
      <c r="A708" s="97" t="s">
        <v>1890</v>
      </c>
      <c r="B708" s="97">
        <v>7.53702026E8</v>
      </c>
      <c r="C708" s="97" t="s">
        <v>1601</v>
      </c>
    </row>
    <row r="709">
      <c r="A709" s="97" t="s">
        <v>1891</v>
      </c>
      <c r="B709" s="97">
        <v>7.86216193E8</v>
      </c>
      <c r="C709" s="97" t="s">
        <v>1758</v>
      </c>
    </row>
    <row r="710">
      <c r="A710" s="97" t="s">
        <v>1892</v>
      </c>
      <c r="B710" s="97">
        <v>7.06214397E8</v>
      </c>
      <c r="C710" s="97" t="s">
        <v>1758</v>
      </c>
    </row>
    <row r="711">
      <c r="A711" s="97" t="s">
        <v>1893</v>
      </c>
      <c r="B711" s="97">
        <v>7.57765437E8</v>
      </c>
      <c r="C711" s="97" t="s">
        <v>1758</v>
      </c>
    </row>
    <row r="712">
      <c r="A712" s="97" t="s">
        <v>1894</v>
      </c>
      <c r="B712" s="97">
        <v>7.09806279E8</v>
      </c>
      <c r="C712" s="97" t="s">
        <v>1758</v>
      </c>
    </row>
    <row r="713">
      <c r="A713" s="97" t="s">
        <v>1895</v>
      </c>
      <c r="B713" s="97">
        <v>7.53380194E8</v>
      </c>
      <c r="C713" s="97" t="s">
        <v>1896</v>
      </c>
    </row>
    <row r="714">
      <c r="A714" s="97" t="s">
        <v>1897</v>
      </c>
      <c r="B714" s="97">
        <v>7.03178882E8</v>
      </c>
      <c r="C714" s="97" t="s">
        <v>1631</v>
      </c>
    </row>
    <row r="715">
      <c r="A715" s="97" t="s">
        <v>1898</v>
      </c>
      <c r="B715" s="97">
        <v>7.56410818E8</v>
      </c>
      <c r="C715" s="97" t="s">
        <v>1758</v>
      </c>
    </row>
    <row r="716">
      <c r="A716" s="97" t="s">
        <v>1899</v>
      </c>
      <c r="B716" s="97">
        <v>7.04032614E8</v>
      </c>
      <c r="C716" s="97" t="s">
        <v>1758</v>
      </c>
    </row>
    <row r="717">
      <c r="A717" s="97" t="s">
        <v>1900</v>
      </c>
      <c r="B717" s="97">
        <v>7.56267422E8</v>
      </c>
      <c r="C717" s="97" t="s">
        <v>1604</v>
      </c>
    </row>
    <row r="718">
      <c r="A718" s="97" t="s">
        <v>1901</v>
      </c>
      <c r="B718" s="97">
        <v>7.47192222E8</v>
      </c>
      <c r="C718" s="97" t="s">
        <v>1742</v>
      </c>
    </row>
    <row r="719">
      <c r="A719" s="97" t="s">
        <v>1902</v>
      </c>
      <c r="B719" s="97">
        <v>7.6104042E8</v>
      </c>
      <c r="C719" s="97" t="s">
        <v>1742</v>
      </c>
    </row>
    <row r="720">
      <c r="A720" s="97" t="s">
        <v>1903</v>
      </c>
      <c r="B720" s="97">
        <v>7.43983116E8</v>
      </c>
      <c r="C720" s="97" t="s">
        <v>1742</v>
      </c>
    </row>
    <row r="721">
      <c r="A721" s="97" t="s">
        <v>1884</v>
      </c>
      <c r="B721" s="97">
        <v>7.89672531E8</v>
      </c>
      <c r="C721" s="97" t="s">
        <v>693</v>
      </c>
    </row>
    <row r="722">
      <c r="A722" s="97" t="s">
        <v>1904</v>
      </c>
      <c r="B722" s="97">
        <v>7.86547717E8</v>
      </c>
      <c r="C722" s="97" t="s">
        <v>1758</v>
      </c>
    </row>
    <row r="723">
      <c r="A723" s="97" t="s">
        <v>1905</v>
      </c>
      <c r="B723" s="97">
        <v>7.09093098E8</v>
      </c>
      <c r="C723" s="97" t="s">
        <v>1625</v>
      </c>
    </row>
    <row r="724">
      <c r="A724" s="97" t="s">
        <v>1906</v>
      </c>
      <c r="B724" s="97">
        <v>7.87887271E8</v>
      </c>
      <c r="C724" s="97" t="s">
        <v>1625</v>
      </c>
    </row>
    <row r="725">
      <c r="A725" s="97" t="s">
        <v>1907</v>
      </c>
      <c r="B725" s="97">
        <v>7.59632833E8</v>
      </c>
      <c r="C725" s="97" t="s">
        <v>1908</v>
      </c>
    </row>
    <row r="726">
      <c r="A726" s="97" t="s">
        <v>1909</v>
      </c>
      <c r="B726" s="97">
        <v>7.81668875E8</v>
      </c>
      <c r="C726" s="97" t="s">
        <v>1848</v>
      </c>
    </row>
    <row r="727">
      <c r="A727" s="97" t="s">
        <v>1910</v>
      </c>
      <c r="B727" s="97">
        <v>7.831104105E9</v>
      </c>
      <c r="C727" s="97" t="s">
        <v>1911</v>
      </c>
    </row>
    <row r="728">
      <c r="A728" s="97" t="s">
        <v>1912</v>
      </c>
      <c r="B728" s="97">
        <v>7.40968515E8</v>
      </c>
      <c r="C728" s="97" t="s">
        <v>1911</v>
      </c>
    </row>
    <row r="729">
      <c r="A729" s="97" t="s">
        <v>1913</v>
      </c>
      <c r="B729" s="97">
        <v>7.06407964E8</v>
      </c>
      <c r="C729" s="97" t="s">
        <v>1758</v>
      </c>
    </row>
    <row r="730">
      <c r="A730" s="97" t="s">
        <v>1914</v>
      </c>
      <c r="B730" s="97">
        <v>7.65214272E8</v>
      </c>
      <c r="C730" s="97" t="s">
        <v>1758</v>
      </c>
    </row>
    <row r="731">
      <c r="A731" s="97" t="s">
        <v>1915</v>
      </c>
      <c r="B731" s="97">
        <v>7.45995748E8</v>
      </c>
      <c r="C731" s="97" t="s">
        <v>911</v>
      </c>
    </row>
    <row r="732">
      <c r="A732" s="97" t="s">
        <v>1916</v>
      </c>
      <c r="B732" s="97">
        <v>7.03563301E8</v>
      </c>
      <c r="C732" s="97" t="s">
        <v>1758</v>
      </c>
    </row>
    <row r="733">
      <c r="A733" s="97" t="s">
        <v>1917</v>
      </c>
      <c r="B733" s="97">
        <v>7.06607579E8</v>
      </c>
      <c r="C733" s="97" t="s">
        <v>1758</v>
      </c>
    </row>
    <row r="734">
      <c r="A734" s="97" t="s">
        <v>1918</v>
      </c>
      <c r="B734" s="97">
        <v>7.76156221E8</v>
      </c>
      <c r="C734" s="97" t="s">
        <v>1758</v>
      </c>
    </row>
    <row r="735">
      <c r="A735" s="97" t="s">
        <v>1919</v>
      </c>
      <c r="B735" s="97">
        <v>7.00359694E8</v>
      </c>
      <c r="C735" s="97" t="s">
        <v>1758</v>
      </c>
    </row>
    <row r="736">
      <c r="A736" s="97" t="s">
        <v>1920</v>
      </c>
      <c r="B736" s="97">
        <v>7.88072924E8</v>
      </c>
      <c r="C736" s="97" t="s">
        <v>1758</v>
      </c>
    </row>
    <row r="737">
      <c r="A737" s="97" t="s">
        <v>1921</v>
      </c>
      <c r="B737" s="97">
        <v>7.67236126E8</v>
      </c>
      <c r="C737" s="97" t="s">
        <v>1758</v>
      </c>
    </row>
    <row r="738">
      <c r="A738" s="97" t="s">
        <v>1922</v>
      </c>
      <c r="B738" s="97">
        <v>7.79322494E8</v>
      </c>
      <c r="C738" s="97" t="s">
        <v>1758</v>
      </c>
    </row>
    <row r="739">
      <c r="A739" s="97" t="s">
        <v>1923</v>
      </c>
      <c r="B739" s="97">
        <v>7.46084293E8</v>
      </c>
      <c r="C739" s="97" t="s">
        <v>1758</v>
      </c>
    </row>
    <row r="740">
      <c r="A740" s="97" t="s">
        <v>1924</v>
      </c>
      <c r="B740" s="97">
        <v>7.90320449E8</v>
      </c>
      <c r="C740" s="97" t="s">
        <v>1758</v>
      </c>
    </row>
    <row r="741">
      <c r="A741" s="97" t="s">
        <v>1925</v>
      </c>
      <c r="B741" s="97">
        <v>7.89269003E8</v>
      </c>
      <c r="C741" s="97" t="s">
        <v>1758</v>
      </c>
    </row>
    <row r="742">
      <c r="A742" s="97" t="s">
        <v>1926</v>
      </c>
      <c r="B742" s="97">
        <v>7.00933203E8</v>
      </c>
      <c r="C742" s="97" t="s">
        <v>1758</v>
      </c>
    </row>
    <row r="743">
      <c r="A743" s="97" t="s">
        <v>1927</v>
      </c>
      <c r="B743" s="97">
        <v>7.0270373E8</v>
      </c>
      <c r="C743" s="97" t="s">
        <v>1758</v>
      </c>
    </row>
    <row r="744">
      <c r="A744" s="97" t="s">
        <v>1928</v>
      </c>
      <c r="B744" s="97">
        <v>7.58078089E8</v>
      </c>
      <c r="C744" s="97" t="s">
        <v>1758</v>
      </c>
    </row>
    <row r="745">
      <c r="A745" s="97" t="s">
        <v>1929</v>
      </c>
      <c r="B745" s="97">
        <v>7.44889686E8</v>
      </c>
      <c r="C745" s="97" t="s">
        <v>1758</v>
      </c>
    </row>
    <row r="746">
      <c r="A746" s="97" t="s">
        <v>1930</v>
      </c>
      <c r="B746" s="97">
        <v>7.50817725E8</v>
      </c>
      <c r="C746" s="97" t="s">
        <v>1758</v>
      </c>
    </row>
    <row r="747">
      <c r="A747" s="97" t="s">
        <v>1931</v>
      </c>
      <c r="B747" s="97">
        <v>7.06589286E8</v>
      </c>
      <c r="C747" s="97" t="s">
        <v>1663</v>
      </c>
    </row>
    <row r="748">
      <c r="A748" s="97" t="s">
        <v>1932</v>
      </c>
      <c r="B748" s="97">
        <v>7.54057072E8</v>
      </c>
      <c r="C748" s="97" t="s">
        <v>1933</v>
      </c>
    </row>
    <row r="749">
      <c r="A749" s="97" t="s">
        <v>1934</v>
      </c>
      <c r="B749" s="97">
        <v>7.59973902E8</v>
      </c>
      <c r="C749" s="97" t="s">
        <v>1933</v>
      </c>
    </row>
    <row r="750">
      <c r="A750" s="97" t="s">
        <v>1935</v>
      </c>
      <c r="B750" s="97">
        <v>7.03676491E8</v>
      </c>
      <c r="C750" s="97" t="s">
        <v>1663</v>
      </c>
    </row>
    <row r="751">
      <c r="A751" s="97" t="s">
        <v>1936</v>
      </c>
      <c r="B751" s="97">
        <v>7.03676491E8</v>
      </c>
      <c r="C751" s="97" t="s">
        <v>1663</v>
      </c>
    </row>
    <row r="752">
      <c r="A752" s="97" t="s">
        <v>1937</v>
      </c>
      <c r="B752" s="97">
        <v>7.57318092E8</v>
      </c>
      <c r="C752" s="97" t="s">
        <v>1663</v>
      </c>
    </row>
    <row r="753">
      <c r="A753" s="97" t="s">
        <v>1938</v>
      </c>
      <c r="B753" s="97">
        <v>7.53359826E8</v>
      </c>
      <c r="C753" s="97" t="s">
        <v>1663</v>
      </c>
    </row>
    <row r="754">
      <c r="A754" s="97" t="s">
        <v>1939</v>
      </c>
      <c r="B754" s="97">
        <v>7.82208615E8</v>
      </c>
      <c r="C754" s="97" t="s">
        <v>1663</v>
      </c>
    </row>
    <row r="755">
      <c r="A755" s="97" t="s">
        <v>1940</v>
      </c>
      <c r="B755" s="97">
        <v>7.05920915E8</v>
      </c>
      <c r="C755" s="97" t="s">
        <v>1663</v>
      </c>
    </row>
    <row r="756">
      <c r="A756" s="97" t="s">
        <v>1941</v>
      </c>
      <c r="B756" s="97">
        <v>7.44404294E8</v>
      </c>
      <c r="C756" s="97" t="s">
        <v>1663</v>
      </c>
    </row>
    <row r="757">
      <c r="A757" s="97" t="s">
        <v>1942</v>
      </c>
      <c r="B757" s="97">
        <v>7.01196831E8</v>
      </c>
      <c r="C757" s="97" t="s">
        <v>1663</v>
      </c>
    </row>
    <row r="758">
      <c r="A758" s="97" t="s">
        <v>1943</v>
      </c>
      <c r="B758" s="97">
        <v>7.73449601E8</v>
      </c>
      <c r="C758" s="97" t="s">
        <v>1663</v>
      </c>
    </row>
    <row r="759">
      <c r="A759" s="97" t="s">
        <v>1944</v>
      </c>
      <c r="B759" s="97">
        <v>7.05152987E8</v>
      </c>
      <c r="C759" s="97" t="s">
        <v>1663</v>
      </c>
    </row>
    <row r="760">
      <c r="A760" s="97" t="s">
        <v>1945</v>
      </c>
      <c r="B760" s="97">
        <v>7.68868151E8</v>
      </c>
      <c r="C760" s="97" t="s">
        <v>1663</v>
      </c>
    </row>
    <row r="761">
      <c r="A761" s="97" t="s">
        <v>1946</v>
      </c>
      <c r="B761" s="97">
        <v>7.90259204E8</v>
      </c>
      <c r="C761" s="97" t="s">
        <v>1663</v>
      </c>
    </row>
    <row r="762">
      <c r="A762" s="97" t="s">
        <v>1947</v>
      </c>
      <c r="B762" s="97">
        <v>7.04329643E8</v>
      </c>
      <c r="C762" s="97" t="s">
        <v>1663</v>
      </c>
    </row>
    <row r="763">
      <c r="A763" s="97" t="s">
        <v>1948</v>
      </c>
      <c r="B763" s="97">
        <v>7.6170473E8</v>
      </c>
      <c r="C763" s="97" t="s">
        <v>1663</v>
      </c>
    </row>
    <row r="764">
      <c r="A764" s="97" t="s">
        <v>1949</v>
      </c>
      <c r="B764" s="97">
        <v>7.08299146E8</v>
      </c>
      <c r="C764" s="97" t="s">
        <v>1663</v>
      </c>
    </row>
    <row r="765">
      <c r="A765" s="97" t="s">
        <v>1950</v>
      </c>
      <c r="B765" s="97">
        <v>7.5138319E8</v>
      </c>
      <c r="C765" s="97" t="s">
        <v>1663</v>
      </c>
    </row>
    <row r="766">
      <c r="A766" s="97" t="s">
        <v>1951</v>
      </c>
      <c r="B766" s="97">
        <v>7.57238802E8</v>
      </c>
      <c r="C766" s="97" t="s">
        <v>1663</v>
      </c>
    </row>
    <row r="767">
      <c r="A767" s="97" t="s">
        <v>1952</v>
      </c>
      <c r="B767" s="97">
        <v>7.03698223E8</v>
      </c>
      <c r="C767" s="97" t="s">
        <v>1125</v>
      </c>
    </row>
    <row r="768">
      <c r="A768" s="97" t="s">
        <v>1953</v>
      </c>
      <c r="B768" s="97">
        <v>7.08581086E8</v>
      </c>
      <c r="C768" s="97" t="s">
        <v>1601</v>
      </c>
    </row>
    <row r="769">
      <c r="A769" s="97" t="s">
        <v>1954</v>
      </c>
      <c r="B769" s="97">
        <v>7.53206594E8</v>
      </c>
      <c r="C769" s="97" t="s">
        <v>1601</v>
      </c>
    </row>
    <row r="770">
      <c r="A770" s="97" t="s">
        <v>1955</v>
      </c>
      <c r="B770" s="97">
        <v>7.08446032E8</v>
      </c>
      <c r="C770" s="97" t="s">
        <v>1601</v>
      </c>
    </row>
    <row r="771">
      <c r="A771" s="97" t="s">
        <v>1956</v>
      </c>
      <c r="B771" s="97">
        <v>7.67028988E8</v>
      </c>
      <c r="C771" s="97" t="s">
        <v>1957</v>
      </c>
    </row>
    <row r="772">
      <c r="A772" s="97" t="s">
        <v>1958</v>
      </c>
      <c r="B772" s="97">
        <v>7.00334788E8</v>
      </c>
      <c r="C772" s="97" t="s">
        <v>1957</v>
      </c>
    </row>
    <row r="773">
      <c r="A773" s="97" t="s">
        <v>1959</v>
      </c>
      <c r="B773" s="97">
        <v>7.81704779E8</v>
      </c>
      <c r="C773" s="97" t="s">
        <v>1584</v>
      </c>
    </row>
    <row r="774">
      <c r="A774" s="97" t="s">
        <v>1960</v>
      </c>
      <c r="B774" s="97">
        <v>7.01328951E8</v>
      </c>
      <c r="C774" s="97" t="s">
        <v>1631</v>
      </c>
    </row>
    <row r="775">
      <c r="A775" s="97" t="s">
        <v>1961</v>
      </c>
      <c r="B775" s="97">
        <v>7.8552122E8</v>
      </c>
      <c r="C775" s="97" t="s">
        <v>1625</v>
      </c>
    </row>
    <row r="776">
      <c r="A776" s="97" t="s">
        <v>1962</v>
      </c>
      <c r="B776" s="97">
        <v>7.59776357E8</v>
      </c>
      <c r="C776" s="97" t="s">
        <v>1742</v>
      </c>
    </row>
    <row r="777">
      <c r="A777" s="97" t="s">
        <v>1963</v>
      </c>
      <c r="B777" s="97">
        <v>7.4847302E8</v>
      </c>
      <c r="C777" s="97" t="s">
        <v>1601</v>
      </c>
    </row>
    <row r="778">
      <c r="A778" s="97" t="s">
        <v>1964</v>
      </c>
      <c r="B778" s="97">
        <v>7.72931449E8</v>
      </c>
      <c r="C778" s="97" t="s">
        <v>1601</v>
      </c>
    </row>
    <row r="779">
      <c r="A779" s="97" t="s">
        <v>1965</v>
      </c>
      <c r="B779" s="97">
        <v>7.5622224E7</v>
      </c>
      <c r="C779" s="97" t="s">
        <v>1584</v>
      </c>
    </row>
    <row r="780">
      <c r="A780" s="97" t="s">
        <v>1966</v>
      </c>
      <c r="B780" s="97">
        <v>7.05922646E8</v>
      </c>
      <c r="C780" s="97" t="s">
        <v>1832</v>
      </c>
    </row>
    <row r="781">
      <c r="A781" s="97" t="s">
        <v>1967</v>
      </c>
      <c r="B781" s="97">
        <v>7.42404134E8</v>
      </c>
      <c r="C781" s="97" t="s">
        <v>1625</v>
      </c>
    </row>
    <row r="782">
      <c r="A782" s="97" t="s">
        <v>1968</v>
      </c>
      <c r="B782" s="97">
        <v>7.54637095E8</v>
      </c>
      <c r="C782" s="97" t="s">
        <v>1625</v>
      </c>
    </row>
    <row r="783">
      <c r="A783" s="97" t="s">
        <v>1969</v>
      </c>
      <c r="B783" s="97">
        <v>7.57978615E8</v>
      </c>
      <c r="C783" s="97" t="s">
        <v>1601</v>
      </c>
    </row>
    <row r="784">
      <c r="A784" s="97" t="s">
        <v>1970</v>
      </c>
      <c r="B784" s="97">
        <v>7.05923167E8</v>
      </c>
      <c r="C784" s="97" t="s">
        <v>1625</v>
      </c>
    </row>
    <row r="785">
      <c r="A785" s="97" t="s">
        <v>1971</v>
      </c>
      <c r="B785" s="97">
        <v>7.06286527E8</v>
      </c>
      <c r="C785" s="97" t="s">
        <v>1601</v>
      </c>
    </row>
    <row r="786">
      <c r="A786" s="97" t="s">
        <v>1972</v>
      </c>
      <c r="B786" s="97">
        <v>7.03718914E8</v>
      </c>
      <c r="C786" s="97" t="s">
        <v>1663</v>
      </c>
    </row>
    <row r="787">
      <c r="A787" s="97" t="s">
        <v>1973</v>
      </c>
      <c r="B787" s="97">
        <v>7.0651731E8</v>
      </c>
      <c r="C787" s="97" t="s">
        <v>1663</v>
      </c>
    </row>
    <row r="788">
      <c r="A788" s="97" t="s">
        <v>1974</v>
      </c>
      <c r="B788" s="97">
        <v>7.40646064E8</v>
      </c>
      <c r="C788" s="97" t="s">
        <v>1601</v>
      </c>
    </row>
    <row r="789">
      <c r="A789" s="97" t="s">
        <v>1975</v>
      </c>
      <c r="B789" s="97">
        <v>7.77659045E8</v>
      </c>
      <c r="C789" s="97" t="s">
        <v>1601</v>
      </c>
    </row>
    <row r="790">
      <c r="A790" s="97" t="s">
        <v>1976</v>
      </c>
      <c r="B790" s="97">
        <v>7.09669589E8</v>
      </c>
      <c r="C790" s="97" t="s">
        <v>1663</v>
      </c>
    </row>
    <row r="791">
      <c r="A791" s="97" t="s">
        <v>1977</v>
      </c>
      <c r="B791" s="97">
        <v>7.5012902E8</v>
      </c>
      <c r="C791" s="97" t="s">
        <v>1584</v>
      </c>
    </row>
    <row r="792">
      <c r="A792" s="97" t="s">
        <v>1978</v>
      </c>
      <c r="B792" s="97">
        <v>7.82210153E8</v>
      </c>
      <c r="C792" s="97" t="s">
        <v>1758</v>
      </c>
    </row>
    <row r="793">
      <c r="A793" s="97" t="s">
        <v>1979</v>
      </c>
      <c r="B793" s="97">
        <v>7.59751028E8</v>
      </c>
      <c r="C793" s="97" t="s">
        <v>1758</v>
      </c>
    </row>
    <row r="794">
      <c r="A794" s="97" t="s">
        <v>1980</v>
      </c>
      <c r="B794" s="97">
        <v>7.03212234E8</v>
      </c>
      <c r="C794" s="97" t="s">
        <v>1758</v>
      </c>
    </row>
    <row r="795">
      <c r="A795" s="97" t="s">
        <v>1981</v>
      </c>
      <c r="B795" s="97">
        <v>7.46171901E8</v>
      </c>
      <c r="C795" s="97" t="s">
        <v>1758</v>
      </c>
    </row>
    <row r="796">
      <c r="A796" s="97" t="s">
        <v>1982</v>
      </c>
      <c r="B796" s="99">
        <v>7.09448729E8</v>
      </c>
      <c r="C796" s="99" t="s">
        <v>1758</v>
      </c>
    </row>
    <row r="797">
      <c r="A797" s="97" t="s">
        <v>1983</v>
      </c>
      <c r="B797" s="97">
        <v>7.05813224E8</v>
      </c>
      <c r="C797" s="97" t="s">
        <v>1758</v>
      </c>
    </row>
    <row r="798">
      <c r="A798" s="97" t="s">
        <v>1984</v>
      </c>
      <c r="B798" s="97">
        <v>7.79975485E8</v>
      </c>
      <c r="C798" s="97" t="s">
        <v>1758</v>
      </c>
    </row>
    <row r="799">
      <c r="A799" s="97" t="s">
        <v>1985</v>
      </c>
      <c r="B799" s="97">
        <v>7.06098271E8</v>
      </c>
      <c r="C799" s="97" t="s">
        <v>1758</v>
      </c>
    </row>
    <row r="800">
      <c r="A800" s="97" t="s">
        <v>1986</v>
      </c>
      <c r="B800" s="97">
        <v>7.7734468E8</v>
      </c>
      <c r="C800" s="97" t="s">
        <v>1758</v>
      </c>
    </row>
    <row r="801">
      <c r="A801" s="97" t="s">
        <v>1987</v>
      </c>
      <c r="B801" s="97">
        <v>7.60748585E8</v>
      </c>
      <c r="C801" s="97" t="s">
        <v>1758</v>
      </c>
    </row>
    <row r="802">
      <c r="A802" s="97" t="s">
        <v>1988</v>
      </c>
      <c r="B802" s="97">
        <v>7.01767331E8</v>
      </c>
      <c r="C802" s="97" t="s">
        <v>1758</v>
      </c>
    </row>
    <row r="803">
      <c r="A803" s="97" t="s">
        <v>1989</v>
      </c>
      <c r="B803" s="97">
        <v>7.83971828E8</v>
      </c>
      <c r="C803" s="97" t="s">
        <v>1758</v>
      </c>
    </row>
    <row r="804">
      <c r="A804" s="97" t="s">
        <v>1990</v>
      </c>
      <c r="B804" s="97">
        <v>7.07136448E8</v>
      </c>
      <c r="C804" s="97" t="s">
        <v>1758</v>
      </c>
    </row>
    <row r="805">
      <c r="A805" s="97" t="s">
        <v>1991</v>
      </c>
      <c r="B805" s="97">
        <v>7.59057472E8</v>
      </c>
      <c r="C805" s="97" t="s">
        <v>1742</v>
      </c>
    </row>
    <row r="806">
      <c r="A806" s="97" t="s">
        <v>1992</v>
      </c>
      <c r="B806" s="97">
        <v>7.04334323E8</v>
      </c>
      <c r="C806" s="97" t="s">
        <v>1742</v>
      </c>
    </row>
    <row r="807">
      <c r="A807" s="97" t="s">
        <v>1993</v>
      </c>
      <c r="B807" s="97">
        <v>7.02542308E8</v>
      </c>
      <c r="C807" s="97" t="s">
        <v>1994</v>
      </c>
    </row>
    <row r="808">
      <c r="A808" s="97" t="s">
        <v>1995</v>
      </c>
      <c r="B808" s="97">
        <v>7.86652835E8</v>
      </c>
      <c r="C808" s="97" t="s">
        <v>1994</v>
      </c>
    </row>
    <row r="809">
      <c r="A809" s="97" t="s">
        <v>1996</v>
      </c>
      <c r="B809" s="97">
        <v>7.54204789E8</v>
      </c>
      <c r="C809" s="97" t="s">
        <v>1742</v>
      </c>
    </row>
    <row r="810">
      <c r="A810" s="97" t="s">
        <v>1997</v>
      </c>
      <c r="B810" s="97">
        <v>7.69172864E8</v>
      </c>
      <c r="C810" s="97" t="s">
        <v>1994</v>
      </c>
    </row>
    <row r="811">
      <c r="A811" s="97" t="s">
        <v>1998</v>
      </c>
      <c r="B811" s="97">
        <v>7.51164351E8</v>
      </c>
      <c r="C811" s="97" t="s">
        <v>1742</v>
      </c>
    </row>
    <row r="812">
      <c r="A812" s="97" t="s">
        <v>1999</v>
      </c>
      <c r="B812" s="97">
        <v>7.8274168E8</v>
      </c>
      <c r="C812" s="97" t="s">
        <v>1742</v>
      </c>
    </row>
    <row r="813">
      <c r="A813" s="97" t="s">
        <v>2000</v>
      </c>
      <c r="B813" s="97">
        <v>7.43983036E8</v>
      </c>
      <c r="C813" s="97" t="s">
        <v>1742</v>
      </c>
    </row>
    <row r="814">
      <c r="A814" s="97" t="s">
        <v>2001</v>
      </c>
      <c r="B814" s="97">
        <v>7.06603182E8</v>
      </c>
      <c r="C814" s="97" t="s">
        <v>1994</v>
      </c>
    </row>
    <row r="815">
      <c r="A815" s="97" t="s">
        <v>2002</v>
      </c>
      <c r="B815" s="97">
        <v>7.73227301E8</v>
      </c>
      <c r="C815" s="97" t="s">
        <v>1742</v>
      </c>
    </row>
    <row r="816">
      <c r="A816" s="97" t="s">
        <v>2003</v>
      </c>
      <c r="B816" s="97">
        <v>7.54080309E8</v>
      </c>
      <c r="C816" s="97" t="s">
        <v>1742</v>
      </c>
    </row>
    <row r="817">
      <c r="A817" s="97" t="s">
        <v>2004</v>
      </c>
      <c r="B817" s="97">
        <v>7.05806771E8</v>
      </c>
      <c r="C817" s="97" t="s">
        <v>1742</v>
      </c>
    </row>
    <row r="818">
      <c r="A818" s="97" t="s">
        <v>2005</v>
      </c>
      <c r="B818" s="97">
        <v>7.88490951E8</v>
      </c>
      <c r="C818" s="97" t="s">
        <v>1742</v>
      </c>
    </row>
    <row r="819">
      <c r="A819" s="97" t="s">
        <v>2006</v>
      </c>
      <c r="B819" s="97">
        <v>7.43087612E8</v>
      </c>
      <c r="C819" s="97" t="s">
        <v>1742</v>
      </c>
    </row>
    <row r="820">
      <c r="A820" s="97" t="s">
        <v>2007</v>
      </c>
      <c r="B820" s="97">
        <v>7.5103813E8</v>
      </c>
      <c r="C820" s="97" t="s">
        <v>1742</v>
      </c>
    </row>
    <row r="821">
      <c r="A821" s="97" t="s">
        <v>2008</v>
      </c>
      <c r="B821" s="97">
        <v>7.7960723E8</v>
      </c>
      <c r="C821" s="97" t="s">
        <v>1742</v>
      </c>
    </row>
    <row r="822">
      <c r="A822" s="97" t="s">
        <v>2009</v>
      </c>
      <c r="B822" s="97">
        <v>7.73783814E8</v>
      </c>
      <c r="C822" s="97" t="s">
        <v>1742</v>
      </c>
    </row>
    <row r="823">
      <c r="A823" s="97" t="s">
        <v>2010</v>
      </c>
      <c r="B823" s="97">
        <v>7.415122303E9</v>
      </c>
      <c r="C823" s="97" t="s">
        <v>1742</v>
      </c>
    </row>
    <row r="824">
      <c r="A824" s="97" t="s">
        <v>2011</v>
      </c>
      <c r="B824" s="97">
        <v>7.442225E8</v>
      </c>
      <c r="C824" s="97" t="s">
        <v>1742</v>
      </c>
    </row>
    <row r="825">
      <c r="A825" s="97" t="s">
        <v>2012</v>
      </c>
      <c r="B825" s="97">
        <v>7.5523238E8</v>
      </c>
      <c r="C825" s="97" t="s">
        <v>1742</v>
      </c>
    </row>
    <row r="826">
      <c r="A826" s="97" t="s">
        <v>2013</v>
      </c>
      <c r="B826" s="97">
        <v>7.56971844E8</v>
      </c>
      <c r="C826" s="97" t="s">
        <v>1742</v>
      </c>
    </row>
    <row r="827">
      <c r="A827" s="97" t="s">
        <v>2014</v>
      </c>
      <c r="B827" s="97">
        <v>7.09059896E8</v>
      </c>
      <c r="C827" s="97" t="s">
        <v>1758</v>
      </c>
    </row>
    <row r="828">
      <c r="A828" s="97" t="s">
        <v>2015</v>
      </c>
      <c r="B828" s="97">
        <v>7.51553046E8</v>
      </c>
      <c r="C828" s="97" t="s">
        <v>1631</v>
      </c>
    </row>
    <row r="829">
      <c r="A829" s="97" t="s">
        <v>2016</v>
      </c>
      <c r="B829" s="97">
        <v>7.57130315E8</v>
      </c>
      <c r="C829" s="97" t="s">
        <v>1555</v>
      </c>
    </row>
    <row r="830">
      <c r="A830" s="97" t="s">
        <v>2017</v>
      </c>
      <c r="B830" s="97">
        <v>7.04529134E8</v>
      </c>
      <c r="C830" s="97" t="s">
        <v>1631</v>
      </c>
    </row>
    <row r="831">
      <c r="A831" s="97" t="s">
        <v>2018</v>
      </c>
      <c r="B831" s="97">
        <v>7.56147581E8</v>
      </c>
      <c r="C831" s="97" t="s">
        <v>1631</v>
      </c>
    </row>
    <row r="832">
      <c r="A832" s="97" t="s">
        <v>2019</v>
      </c>
      <c r="B832" s="97">
        <v>7.77702095E8</v>
      </c>
      <c r="C832" s="97" t="s">
        <v>1631</v>
      </c>
    </row>
    <row r="833">
      <c r="A833" s="97" t="s">
        <v>2020</v>
      </c>
      <c r="B833" s="97">
        <v>7.08981479E8</v>
      </c>
      <c r="C833" s="97" t="s">
        <v>1631</v>
      </c>
    </row>
    <row r="834">
      <c r="A834" s="97" t="s">
        <v>2021</v>
      </c>
      <c r="B834" s="97">
        <v>7.08206856E8</v>
      </c>
      <c r="C834" s="97" t="s">
        <v>1631</v>
      </c>
    </row>
    <row r="835">
      <c r="A835" s="97" t="s">
        <v>2022</v>
      </c>
      <c r="B835" s="97">
        <v>7.85748139E8</v>
      </c>
      <c r="C835" s="97" t="s">
        <v>2023</v>
      </c>
    </row>
    <row r="836">
      <c r="A836" s="97" t="s">
        <v>2024</v>
      </c>
      <c r="B836" s="97">
        <v>7.88218588E8</v>
      </c>
      <c r="C836" s="97" t="s">
        <v>1631</v>
      </c>
    </row>
    <row r="837">
      <c r="A837" s="97" t="s">
        <v>2025</v>
      </c>
      <c r="B837" s="97">
        <v>7.08941552E8</v>
      </c>
      <c r="C837" s="97" t="s">
        <v>2026</v>
      </c>
    </row>
    <row r="838">
      <c r="A838" s="97" t="s">
        <v>2027</v>
      </c>
      <c r="B838" s="97">
        <v>7.83146648E8</v>
      </c>
      <c r="C838" s="97" t="s">
        <v>1631</v>
      </c>
    </row>
    <row r="839">
      <c r="A839" s="97" t="s">
        <v>2028</v>
      </c>
      <c r="B839" s="97">
        <v>7.52260412E8</v>
      </c>
      <c r="C839" s="97" t="s">
        <v>1631</v>
      </c>
    </row>
    <row r="840">
      <c r="A840" s="97" t="s">
        <v>2029</v>
      </c>
      <c r="B840" s="97">
        <v>7.84606088E8</v>
      </c>
      <c r="C840" s="97" t="s">
        <v>1631</v>
      </c>
    </row>
    <row r="841">
      <c r="A841" s="97" t="s">
        <v>2030</v>
      </c>
      <c r="B841" s="97">
        <v>7.5225706E7</v>
      </c>
      <c r="C841" s="97" t="s">
        <v>1631</v>
      </c>
    </row>
    <row r="842">
      <c r="A842" s="97" t="s">
        <v>2031</v>
      </c>
      <c r="B842" s="97">
        <v>7.04777738E8</v>
      </c>
      <c r="C842" s="97" t="s">
        <v>2032</v>
      </c>
    </row>
    <row r="843">
      <c r="A843" s="97" t="s">
        <v>2033</v>
      </c>
      <c r="B843" s="97">
        <v>7.06626608E8</v>
      </c>
      <c r="C843" s="97" t="s">
        <v>2032</v>
      </c>
    </row>
    <row r="844">
      <c r="A844" s="97" t="s">
        <v>2034</v>
      </c>
      <c r="B844" s="97">
        <v>7.41593223E8</v>
      </c>
      <c r="C844" s="97" t="s">
        <v>2035</v>
      </c>
    </row>
    <row r="845">
      <c r="A845" s="97" t="s">
        <v>2036</v>
      </c>
      <c r="B845" s="97">
        <v>7.58064762E8</v>
      </c>
      <c r="C845" s="97" t="s">
        <v>2035</v>
      </c>
    </row>
    <row r="846">
      <c r="A846" s="97" t="s">
        <v>2037</v>
      </c>
      <c r="B846" s="97">
        <v>7.41166741E8</v>
      </c>
      <c r="C846" s="97" t="s">
        <v>2035</v>
      </c>
    </row>
    <row r="847">
      <c r="A847" s="97" t="s">
        <v>2038</v>
      </c>
      <c r="B847" s="97">
        <v>7.47114333E8</v>
      </c>
      <c r="C847" s="97" t="s">
        <v>2035</v>
      </c>
    </row>
    <row r="848">
      <c r="A848" s="97" t="s">
        <v>2039</v>
      </c>
      <c r="B848" s="97">
        <v>7.8994429E8</v>
      </c>
      <c r="C848" s="97" t="s">
        <v>2035</v>
      </c>
    </row>
    <row r="849">
      <c r="A849" s="97" t="s">
        <v>2040</v>
      </c>
      <c r="B849" s="97">
        <v>7.56526894E8</v>
      </c>
      <c r="C849" s="97" t="s">
        <v>2035</v>
      </c>
    </row>
    <row r="850">
      <c r="A850" s="97" t="s">
        <v>2041</v>
      </c>
      <c r="B850" s="97">
        <v>7.45729928E8</v>
      </c>
      <c r="C850" s="97" t="s">
        <v>2035</v>
      </c>
    </row>
    <row r="851">
      <c r="A851" s="97" t="s">
        <v>2042</v>
      </c>
      <c r="B851" s="97">
        <v>7.509716E8</v>
      </c>
      <c r="C851" s="97" t="s">
        <v>2035</v>
      </c>
    </row>
    <row r="852">
      <c r="A852" s="97" t="s">
        <v>2043</v>
      </c>
      <c r="B852" s="97">
        <v>7.46406562E8</v>
      </c>
      <c r="C852" s="97" t="s">
        <v>2035</v>
      </c>
    </row>
    <row r="853">
      <c r="A853" s="97" t="s">
        <v>2044</v>
      </c>
      <c r="B853" s="97">
        <v>7.07861077E8</v>
      </c>
      <c r="C853" s="97" t="s">
        <v>2035</v>
      </c>
    </row>
    <row r="854">
      <c r="A854" s="97" t="s">
        <v>2045</v>
      </c>
      <c r="B854" s="97">
        <v>7.43983112E8</v>
      </c>
      <c r="C854" s="97" t="s">
        <v>2035</v>
      </c>
    </row>
    <row r="855">
      <c r="A855" s="97" t="s">
        <v>2046</v>
      </c>
      <c r="B855" s="97">
        <v>7.59228214E8</v>
      </c>
      <c r="C855" s="97" t="s">
        <v>2047</v>
      </c>
    </row>
    <row r="856">
      <c r="A856" s="97" t="s">
        <v>2048</v>
      </c>
      <c r="B856" s="97">
        <v>7.09901041E8</v>
      </c>
      <c r="C856" s="97" t="s">
        <v>1631</v>
      </c>
    </row>
    <row r="857">
      <c r="A857" s="97" t="s">
        <v>2049</v>
      </c>
      <c r="B857" s="97">
        <v>7.45016079E8</v>
      </c>
      <c r="C857" s="97" t="s">
        <v>1631</v>
      </c>
    </row>
    <row r="858">
      <c r="A858" s="97" t="s">
        <v>2050</v>
      </c>
      <c r="B858" s="97">
        <v>7.40384474E8</v>
      </c>
      <c r="C858" s="97" t="s">
        <v>920</v>
      </c>
    </row>
    <row r="859">
      <c r="A859" s="97" t="s">
        <v>2051</v>
      </c>
      <c r="B859" s="97">
        <v>7.65075811E8</v>
      </c>
      <c r="C859" s="97" t="s">
        <v>2052</v>
      </c>
    </row>
    <row r="860">
      <c r="A860" s="97" t="s">
        <v>2053</v>
      </c>
      <c r="B860" s="97">
        <v>7.09184347E8</v>
      </c>
      <c r="C860" s="97" t="s">
        <v>2052</v>
      </c>
    </row>
    <row r="861">
      <c r="A861" s="97" t="s">
        <v>2054</v>
      </c>
      <c r="B861" s="97">
        <v>7.08004521E8</v>
      </c>
      <c r="C861" s="97" t="s">
        <v>2035</v>
      </c>
    </row>
    <row r="862">
      <c r="A862" s="97" t="s">
        <v>2055</v>
      </c>
      <c r="B862" s="97">
        <v>7.6813233E8</v>
      </c>
      <c r="C862" s="97" t="s">
        <v>1631</v>
      </c>
    </row>
    <row r="863">
      <c r="A863" s="97" t="s">
        <v>2056</v>
      </c>
      <c r="B863" s="97">
        <v>7.54005571E8</v>
      </c>
      <c r="C863" s="97" t="s">
        <v>1631</v>
      </c>
    </row>
    <row r="864">
      <c r="A864" s="97" t="s">
        <v>2057</v>
      </c>
      <c r="B864" s="97">
        <v>7.08697792E8</v>
      </c>
      <c r="C864" s="97" t="s">
        <v>2035</v>
      </c>
    </row>
    <row r="865">
      <c r="A865" s="97" t="s">
        <v>2058</v>
      </c>
      <c r="B865" s="97">
        <v>7.58539564E8</v>
      </c>
      <c r="C865" s="97" t="s">
        <v>2059</v>
      </c>
    </row>
    <row r="866">
      <c r="A866" s="97" t="s">
        <v>2060</v>
      </c>
      <c r="B866" s="97">
        <v>7.48556728E8</v>
      </c>
      <c r="C866" s="97" t="s">
        <v>1856</v>
      </c>
    </row>
    <row r="867">
      <c r="A867" s="97" t="s">
        <v>2061</v>
      </c>
      <c r="B867" s="97">
        <v>7.4120907E8</v>
      </c>
      <c r="C867" s="97" t="s">
        <v>2062</v>
      </c>
    </row>
    <row r="868">
      <c r="A868" s="97" t="s">
        <v>2063</v>
      </c>
      <c r="B868" s="97">
        <v>7.53687122E8</v>
      </c>
      <c r="C868" s="97" t="s">
        <v>1856</v>
      </c>
    </row>
    <row r="869">
      <c r="A869" s="97" t="s">
        <v>2064</v>
      </c>
      <c r="B869" s="97">
        <v>7.06131201E8</v>
      </c>
      <c r="C869" s="97" t="s">
        <v>2062</v>
      </c>
    </row>
    <row r="870">
      <c r="A870" s="97" t="s">
        <v>2065</v>
      </c>
      <c r="B870" s="97">
        <v>7.06099562E8</v>
      </c>
      <c r="C870" s="97" t="s">
        <v>2062</v>
      </c>
    </row>
    <row r="871">
      <c r="A871" s="97" t="s">
        <v>2066</v>
      </c>
      <c r="B871" s="97">
        <v>7.84511427E8</v>
      </c>
      <c r="C871" s="97" t="s">
        <v>2062</v>
      </c>
    </row>
    <row r="872">
      <c r="A872" s="97" t="s">
        <v>2067</v>
      </c>
      <c r="B872" s="97">
        <v>7.08069745E8</v>
      </c>
      <c r="C872" s="97" t="s">
        <v>2062</v>
      </c>
    </row>
    <row r="873">
      <c r="A873" s="97" t="s">
        <v>2068</v>
      </c>
      <c r="B873" s="97">
        <v>7.09168284E8</v>
      </c>
      <c r="C873" s="97" t="s">
        <v>1856</v>
      </c>
    </row>
    <row r="874">
      <c r="A874" s="97" t="s">
        <v>2069</v>
      </c>
      <c r="B874" s="97">
        <v>7.45997286E8</v>
      </c>
      <c r="C874" s="97" t="s">
        <v>1856</v>
      </c>
    </row>
    <row r="875">
      <c r="A875" s="97" t="s">
        <v>2070</v>
      </c>
      <c r="B875" s="97">
        <v>7.56206463E8</v>
      </c>
      <c r="C875" s="97" t="s">
        <v>1856</v>
      </c>
    </row>
    <row r="876">
      <c r="A876" s="97" t="s">
        <v>2071</v>
      </c>
      <c r="B876" s="97">
        <v>7.0894189E8</v>
      </c>
      <c r="C876" s="97" t="s">
        <v>1856</v>
      </c>
    </row>
    <row r="877">
      <c r="A877" s="97" t="s">
        <v>2072</v>
      </c>
      <c r="B877" s="97">
        <v>7.5024139E8</v>
      </c>
      <c r="C877" s="97" t="s">
        <v>1856</v>
      </c>
    </row>
    <row r="878">
      <c r="A878" s="97" t="s">
        <v>2073</v>
      </c>
      <c r="B878" s="97">
        <v>7.01139349E8</v>
      </c>
      <c r="C878" s="97" t="s">
        <v>2062</v>
      </c>
    </row>
    <row r="879">
      <c r="A879" s="97" t="s">
        <v>2074</v>
      </c>
      <c r="B879" s="97">
        <v>7.5138655E8</v>
      </c>
      <c r="C879" s="97" t="s">
        <v>1631</v>
      </c>
    </row>
    <row r="880">
      <c r="A880" s="97" t="s">
        <v>2075</v>
      </c>
      <c r="B880" s="97">
        <v>7.59440586E8</v>
      </c>
      <c r="C880" s="97" t="s">
        <v>1631</v>
      </c>
    </row>
    <row r="881">
      <c r="A881" s="97" t="s">
        <v>2076</v>
      </c>
      <c r="B881" s="97">
        <v>7.59655626E8</v>
      </c>
      <c r="C881" s="97" t="s">
        <v>1631</v>
      </c>
    </row>
    <row r="882">
      <c r="A882" s="97" t="s">
        <v>2077</v>
      </c>
      <c r="B882" s="97">
        <v>7.43940533E8</v>
      </c>
      <c r="C882" s="97" t="s">
        <v>2062</v>
      </c>
    </row>
    <row r="883">
      <c r="A883" s="97" t="s">
        <v>2078</v>
      </c>
      <c r="B883" s="97">
        <v>7.57365383E8</v>
      </c>
      <c r="C883" s="97" t="s">
        <v>1856</v>
      </c>
    </row>
    <row r="884">
      <c r="A884" s="97" t="s">
        <v>2079</v>
      </c>
      <c r="B884" s="97">
        <v>7.75017264E8</v>
      </c>
      <c r="C884" s="97" t="s">
        <v>2062</v>
      </c>
    </row>
    <row r="885">
      <c r="A885" s="97" t="s">
        <v>2080</v>
      </c>
      <c r="B885" s="97">
        <v>7.50656515E8</v>
      </c>
      <c r="C885" s="97" t="s">
        <v>2062</v>
      </c>
    </row>
    <row r="886">
      <c r="A886" s="97" t="s">
        <v>2081</v>
      </c>
      <c r="B886" s="97">
        <v>7.65474169E8</v>
      </c>
      <c r="C886" s="97" t="s">
        <v>2062</v>
      </c>
    </row>
    <row r="887">
      <c r="A887" s="97" t="s">
        <v>2082</v>
      </c>
      <c r="B887" s="97">
        <v>7.48921416E8</v>
      </c>
      <c r="C887" s="97" t="s">
        <v>2062</v>
      </c>
    </row>
    <row r="888">
      <c r="A888" s="97" t="s">
        <v>2083</v>
      </c>
      <c r="B888" s="97">
        <v>7.55733715E8</v>
      </c>
      <c r="C888" s="97" t="s">
        <v>2062</v>
      </c>
    </row>
    <row r="889">
      <c r="A889" s="97" t="s">
        <v>2084</v>
      </c>
      <c r="B889" s="97">
        <v>7.574189657E9</v>
      </c>
      <c r="C889" s="97" t="s">
        <v>2062</v>
      </c>
    </row>
    <row r="890">
      <c r="A890" s="97" t="s">
        <v>2085</v>
      </c>
      <c r="B890" s="97">
        <v>7.74189657E8</v>
      </c>
      <c r="C890" s="97" t="s">
        <v>2062</v>
      </c>
    </row>
    <row r="891">
      <c r="A891" s="97" t="s">
        <v>2086</v>
      </c>
      <c r="B891" s="97">
        <v>7.52112388E8</v>
      </c>
      <c r="C891" s="97" t="s">
        <v>2062</v>
      </c>
    </row>
    <row r="892">
      <c r="A892" s="97" t="s">
        <v>2087</v>
      </c>
      <c r="B892" s="97">
        <v>7.78925245E8</v>
      </c>
      <c r="C892" s="97" t="s">
        <v>1625</v>
      </c>
    </row>
    <row r="893">
      <c r="A893" s="97" t="s">
        <v>2088</v>
      </c>
      <c r="B893" s="97">
        <v>7.0522448E8</v>
      </c>
      <c r="C893" s="97" t="s">
        <v>1610</v>
      </c>
    </row>
    <row r="894">
      <c r="A894" s="97" t="s">
        <v>2089</v>
      </c>
      <c r="B894" s="97">
        <v>7.03917719E8</v>
      </c>
      <c r="C894" s="97" t="s">
        <v>713</v>
      </c>
    </row>
    <row r="895">
      <c r="A895" s="97" t="s">
        <v>2090</v>
      </c>
      <c r="B895" s="97">
        <v>7.0719796E8</v>
      </c>
      <c r="C895" s="97" t="s">
        <v>1610</v>
      </c>
    </row>
    <row r="896">
      <c r="A896" s="97" t="s">
        <v>2091</v>
      </c>
      <c r="B896" s="97">
        <v>7.02926021E8</v>
      </c>
      <c r="C896" s="97" t="s">
        <v>1663</v>
      </c>
    </row>
    <row r="897">
      <c r="A897" s="97" t="s">
        <v>2092</v>
      </c>
      <c r="B897" s="97">
        <v>7.40628109E8</v>
      </c>
      <c r="C897" s="97" t="s">
        <v>1610</v>
      </c>
    </row>
    <row r="898">
      <c r="A898" s="97" t="s">
        <v>2093</v>
      </c>
      <c r="B898" s="97">
        <v>7.57510622E8</v>
      </c>
      <c r="C898" s="97" t="s">
        <v>1625</v>
      </c>
    </row>
    <row r="899">
      <c r="A899" s="97" t="s">
        <v>2094</v>
      </c>
      <c r="B899" s="97">
        <v>7.78520452E8</v>
      </c>
      <c r="C899" s="97" t="s">
        <v>1601</v>
      </c>
    </row>
    <row r="900">
      <c r="A900" s="97" t="s">
        <v>2095</v>
      </c>
      <c r="B900" s="97">
        <v>7.64569628E8</v>
      </c>
      <c r="C900" s="97" t="s">
        <v>1625</v>
      </c>
    </row>
    <row r="901">
      <c r="A901" s="97" t="s">
        <v>2096</v>
      </c>
      <c r="B901" s="97">
        <v>7.53446805E8</v>
      </c>
      <c r="C901" s="97" t="s">
        <v>1832</v>
      </c>
    </row>
    <row r="902">
      <c r="A902" s="97" t="s">
        <v>2097</v>
      </c>
      <c r="B902" s="97">
        <v>7.5221024E7</v>
      </c>
      <c r="C902" s="97" t="s">
        <v>1625</v>
      </c>
    </row>
    <row r="903">
      <c r="A903" s="97" t="s">
        <v>2098</v>
      </c>
      <c r="B903" s="97">
        <v>7.4686017E8</v>
      </c>
      <c r="C903" s="97" t="s">
        <v>1601</v>
      </c>
    </row>
    <row r="904">
      <c r="A904" s="97" t="s">
        <v>2099</v>
      </c>
      <c r="B904" s="97">
        <v>7.56004438E8</v>
      </c>
      <c r="C904" s="97" t="s">
        <v>1865</v>
      </c>
    </row>
    <row r="905">
      <c r="A905" s="97" t="s">
        <v>2100</v>
      </c>
      <c r="B905" s="97">
        <v>7.55261133E8</v>
      </c>
      <c r="C905" s="97" t="s">
        <v>1610</v>
      </c>
    </row>
    <row r="906">
      <c r="A906" s="97" t="s">
        <v>2101</v>
      </c>
      <c r="B906" s="97">
        <v>7.00503465E8</v>
      </c>
      <c r="C906" s="97" t="s">
        <v>1625</v>
      </c>
    </row>
    <row r="907">
      <c r="A907" s="97" t="s">
        <v>1619</v>
      </c>
      <c r="B907" s="97">
        <v>7.42539184E8</v>
      </c>
      <c r="C907" s="97" t="s">
        <v>1663</v>
      </c>
    </row>
    <row r="908">
      <c r="A908" s="97" t="s">
        <v>2102</v>
      </c>
      <c r="B908" s="97">
        <v>7.03908304E8</v>
      </c>
      <c r="C908" s="97" t="s">
        <v>1625</v>
      </c>
    </row>
    <row r="909">
      <c r="A909" s="97" t="s">
        <v>2103</v>
      </c>
      <c r="B909" s="97">
        <v>7.440441E8</v>
      </c>
      <c r="C909" s="97" t="s">
        <v>1625</v>
      </c>
    </row>
    <row r="910">
      <c r="A910" s="97" t="s">
        <v>2104</v>
      </c>
      <c r="B910" s="97">
        <v>7.59087605E8</v>
      </c>
      <c r="C910" s="97" t="s">
        <v>1625</v>
      </c>
    </row>
    <row r="911">
      <c r="A911" s="97" t="s">
        <v>2105</v>
      </c>
      <c r="B911" s="97">
        <v>7.46168192E8</v>
      </c>
      <c r="C911" s="97" t="s">
        <v>1625</v>
      </c>
    </row>
    <row r="912">
      <c r="A912" s="97" t="s">
        <v>2106</v>
      </c>
      <c r="B912" s="97">
        <v>7.41007917E8</v>
      </c>
      <c r="C912" s="97" t="s">
        <v>1625</v>
      </c>
    </row>
    <row r="913">
      <c r="A913" s="97" t="s">
        <v>2107</v>
      </c>
      <c r="B913" s="97">
        <v>7.62980062E8</v>
      </c>
      <c r="C913" s="97" t="s">
        <v>1625</v>
      </c>
    </row>
    <row r="914">
      <c r="A914" s="97" t="s">
        <v>2108</v>
      </c>
      <c r="B914" s="97">
        <v>7.05645783E8</v>
      </c>
      <c r="C914" s="97" t="s">
        <v>1625</v>
      </c>
    </row>
    <row r="915">
      <c r="A915" s="97" t="s">
        <v>2109</v>
      </c>
      <c r="B915" s="97">
        <v>7.74202626E8</v>
      </c>
      <c r="C915" s="97" t="s">
        <v>1625</v>
      </c>
    </row>
    <row r="916">
      <c r="A916" s="97" t="s">
        <v>2110</v>
      </c>
      <c r="B916" s="97">
        <v>7.0924406E8</v>
      </c>
      <c r="C916" s="97" t="s">
        <v>1625</v>
      </c>
    </row>
    <row r="917">
      <c r="A917" s="97" t="s">
        <v>2111</v>
      </c>
      <c r="B917" s="97">
        <v>7.76735956E8</v>
      </c>
      <c r="C917" s="97" t="s">
        <v>1625</v>
      </c>
    </row>
    <row r="918">
      <c r="A918" s="97" t="s">
        <v>2112</v>
      </c>
      <c r="B918" s="97">
        <v>7.85044677E8</v>
      </c>
      <c r="C918" s="97" t="s">
        <v>1625</v>
      </c>
    </row>
    <row r="919">
      <c r="A919" s="97" t="s">
        <v>2113</v>
      </c>
      <c r="B919" s="97">
        <v>7.04335239E8</v>
      </c>
      <c r="C919" s="97" t="s">
        <v>1625</v>
      </c>
    </row>
    <row r="920">
      <c r="A920" s="97" t="s">
        <v>2114</v>
      </c>
      <c r="B920" s="97">
        <v>7.71903987E8</v>
      </c>
      <c r="C920" s="97" t="s">
        <v>1625</v>
      </c>
    </row>
    <row r="921">
      <c r="A921" s="97" t="s">
        <v>2115</v>
      </c>
      <c r="B921" s="97">
        <v>7.01556594E8</v>
      </c>
      <c r="C921" s="97" t="s">
        <v>1625</v>
      </c>
    </row>
    <row r="922">
      <c r="A922" s="97" t="s">
        <v>2116</v>
      </c>
      <c r="B922" s="97">
        <v>7.41915873E8</v>
      </c>
      <c r="C922" s="97" t="s">
        <v>1625</v>
      </c>
    </row>
    <row r="923">
      <c r="A923" s="97" t="s">
        <v>2117</v>
      </c>
      <c r="B923" s="97">
        <v>7.58623647E8</v>
      </c>
      <c r="C923" s="97" t="s">
        <v>1125</v>
      </c>
    </row>
    <row r="924">
      <c r="A924" s="97" t="s">
        <v>2118</v>
      </c>
      <c r="B924" s="97">
        <v>7.72516475E8</v>
      </c>
      <c r="C924" s="97" t="s">
        <v>1663</v>
      </c>
    </row>
    <row r="925">
      <c r="A925" s="97" t="s">
        <v>2119</v>
      </c>
      <c r="B925" s="97">
        <v>7.4035371E8</v>
      </c>
      <c r="C925" s="97" t="s">
        <v>1625</v>
      </c>
    </row>
    <row r="926">
      <c r="A926" s="97" t="s">
        <v>2120</v>
      </c>
      <c r="B926" s="97">
        <v>7.5550552E8</v>
      </c>
      <c r="C926" s="97" t="s">
        <v>1601</v>
      </c>
    </row>
    <row r="927">
      <c r="A927" s="97" t="s">
        <v>2121</v>
      </c>
      <c r="B927" s="97">
        <v>7.4060679E8</v>
      </c>
      <c r="C927" s="97" t="s">
        <v>1601</v>
      </c>
    </row>
    <row r="928">
      <c r="A928" s="97" t="s">
        <v>2122</v>
      </c>
      <c r="B928" s="97">
        <v>7.00270904E8</v>
      </c>
      <c r="C928" s="97" t="s">
        <v>1625</v>
      </c>
    </row>
    <row r="929">
      <c r="A929" s="97" t="s">
        <v>2123</v>
      </c>
      <c r="B929" s="97">
        <v>7.621825E8</v>
      </c>
      <c r="C929" s="97" t="s">
        <v>1601</v>
      </c>
    </row>
    <row r="930">
      <c r="A930" s="97" t="s">
        <v>2124</v>
      </c>
      <c r="B930" s="97">
        <v>7.74697031E8</v>
      </c>
      <c r="C930" s="97" t="s">
        <v>1663</v>
      </c>
    </row>
    <row r="931">
      <c r="A931" s="97" t="s">
        <v>2125</v>
      </c>
      <c r="B931" s="97">
        <v>7.01601474E8</v>
      </c>
      <c r="C931" s="97" t="s">
        <v>1601</v>
      </c>
    </row>
    <row r="932">
      <c r="A932" s="97" t="s">
        <v>2126</v>
      </c>
      <c r="B932" s="97">
        <v>7.09621081E8</v>
      </c>
      <c r="C932" s="97" t="s">
        <v>1601</v>
      </c>
    </row>
    <row r="933">
      <c r="A933" s="97" t="s">
        <v>2127</v>
      </c>
      <c r="B933" s="97">
        <v>7.43056402E8</v>
      </c>
      <c r="C933" s="97" t="s">
        <v>1601</v>
      </c>
    </row>
    <row r="934">
      <c r="A934" s="97" t="s">
        <v>2128</v>
      </c>
      <c r="B934" s="97">
        <v>7.54591381E8</v>
      </c>
      <c r="C934" s="97" t="s">
        <v>1125</v>
      </c>
    </row>
    <row r="935">
      <c r="A935" s="97" t="s">
        <v>2129</v>
      </c>
      <c r="B935" s="97">
        <v>7.0328325E7</v>
      </c>
      <c r="C935" s="97" t="s">
        <v>1663</v>
      </c>
    </row>
    <row r="936">
      <c r="A936" s="97" t="s">
        <v>2130</v>
      </c>
      <c r="B936" s="97">
        <v>7.7816389E8</v>
      </c>
      <c r="C936" s="97" t="s">
        <v>2131</v>
      </c>
    </row>
    <row r="937">
      <c r="A937" s="97" t="s">
        <v>2132</v>
      </c>
      <c r="B937" s="97">
        <v>7.01227532E8</v>
      </c>
      <c r="C937" s="97" t="s">
        <v>1625</v>
      </c>
    </row>
    <row r="938">
      <c r="A938" s="97" t="s">
        <v>2133</v>
      </c>
      <c r="B938" s="97">
        <v>7.03448551E8</v>
      </c>
      <c r="C938" s="97" t="s">
        <v>1625</v>
      </c>
    </row>
    <row r="939">
      <c r="A939" s="97" t="s">
        <v>2134</v>
      </c>
      <c r="B939" s="97">
        <v>7.62087549E8</v>
      </c>
      <c r="C939" s="97" t="s">
        <v>1625</v>
      </c>
    </row>
    <row r="940">
      <c r="A940" s="97" t="s">
        <v>2135</v>
      </c>
      <c r="B940" s="97">
        <v>7.00530324E8</v>
      </c>
      <c r="C940" s="97" t="s">
        <v>1625</v>
      </c>
    </row>
    <row r="941">
      <c r="A941" s="97" t="s">
        <v>2136</v>
      </c>
      <c r="B941" s="97">
        <v>7.02975433E8</v>
      </c>
      <c r="C941" s="97" t="s">
        <v>1625</v>
      </c>
    </row>
    <row r="942">
      <c r="A942" s="97" t="s">
        <v>2137</v>
      </c>
      <c r="B942" s="97">
        <v>7.69048272E8</v>
      </c>
      <c r="C942" s="97" t="s">
        <v>1652</v>
      </c>
    </row>
    <row r="943">
      <c r="A943" s="97" t="s">
        <v>2138</v>
      </c>
      <c r="B943" s="97">
        <v>7.02530543E8</v>
      </c>
      <c r="C943" s="97" t="s">
        <v>1625</v>
      </c>
    </row>
    <row r="944">
      <c r="A944" s="97" t="s">
        <v>2139</v>
      </c>
      <c r="B944" s="97">
        <v>7.81514763E8</v>
      </c>
      <c r="C944" s="4"/>
    </row>
    <row r="945">
      <c r="A945" s="97" t="s">
        <v>2140</v>
      </c>
      <c r="B945" s="97">
        <v>7.4180273E8</v>
      </c>
      <c r="C945" s="97" t="s">
        <v>1601</v>
      </c>
    </row>
    <row r="946">
      <c r="A946" s="97" t="s">
        <v>2141</v>
      </c>
      <c r="B946" s="97">
        <v>7.43032412E8</v>
      </c>
      <c r="C946" s="97" t="s">
        <v>1663</v>
      </c>
    </row>
    <row r="947">
      <c r="A947" s="97" t="s">
        <v>2142</v>
      </c>
      <c r="B947" s="97">
        <v>7.641362E8</v>
      </c>
      <c r="C947" s="97" t="s">
        <v>1610</v>
      </c>
    </row>
    <row r="948">
      <c r="A948" s="97" t="s">
        <v>2143</v>
      </c>
      <c r="B948" s="97">
        <v>7.04334467E8</v>
      </c>
      <c r="C948" s="97" t="s">
        <v>1842</v>
      </c>
    </row>
    <row r="949">
      <c r="A949" s="97" t="s">
        <v>2144</v>
      </c>
      <c r="B949" s="97">
        <v>7.54627288E8</v>
      </c>
      <c r="C949" s="97" t="s">
        <v>1625</v>
      </c>
    </row>
    <row r="950">
      <c r="A950" s="97" t="s">
        <v>2145</v>
      </c>
      <c r="B950" s="97">
        <v>7.42261118E8</v>
      </c>
      <c r="C950" s="97" t="s">
        <v>1663</v>
      </c>
    </row>
    <row r="951">
      <c r="A951" s="97" t="s">
        <v>2146</v>
      </c>
      <c r="B951" s="97">
        <v>7.76639881E8</v>
      </c>
      <c r="C951" s="97" t="s">
        <v>1663</v>
      </c>
    </row>
    <row r="952">
      <c r="A952" s="97" t="s">
        <v>2147</v>
      </c>
      <c r="B952" s="97">
        <v>7.79603063E9</v>
      </c>
      <c r="C952" s="97" t="s">
        <v>1125</v>
      </c>
    </row>
    <row r="953">
      <c r="A953" s="97" t="s">
        <v>2148</v>
      </c>
      <c r="B953" s="97">
        <v>7.58577818E8</v>
      </c>
      <c r="C953" s="97" t="s">
        <v>1601</v>
      </c>
    </row>
    <row r="954">
      <c r="A954" s="97" t="s">
        <v>2149</v>
      </c>
      <c r="B954" s="97">
        <v>7.57682395E8</v>
      </c>
      <c r="C954" s="97" t="s">
        <v>1601</v>
      </c>
    </row>
    <row r="955">
      <c r="A955" s="97" t="s">
        <v>2150</v>
      </c>
      <c r="B955" s="97">
        <v>7.5710199E8</v>
      </c>
      <c r="C955" s="97" t="s">
        <v>1625</v>
      </c>
    </row>
    <row r="956">
      <c r="A956" s="97" t="s">
        <v>2151</v>
      </c>
      <c r="B956" s="97">
        <v>7.5386796E8</v>
      </c>
      <c r="C956" s="97" t="s">
        <v>1625</v>
      </c>
    </row>
    <row r="957">
      <c r="A957" s="97" t="s">
        <v>2152</v>
      </c>
      <c r="B957" s="97">
        <v>7.08168799E8</v>
      </c>
      <c r="C957" s="97" t="s">
        <v>1625</v>
      </c>
    </row>
    <row r="958">
      <c r="A958" s="97" t="s">
        <v>2153</v>
      </c>
      <c r="B958" s="97">
        <v>7.8977257E8</v>
      </c>
      <c r="C958" s="97" t="s">
        <v>1625</v>
      </c>
    </row>
    <row r="959">
      <c r="A959" s="97" t="s">
        <v>2154</v>
      </c>
      <c r="B959" s="97">
        <v>7.64088899E8</v>
      </c>
      <c r="C959" s="97" t="s">
        <v>1125</v>
      </c>
    </row>
    <row r="960">
      <c r="A960" s="97" t="s">
        <v>2155</v>
      </c>
      <c r="B960" s="97">
        <v>7.01880295E8</v>
      </c>
      <c r="C960" s="97" t="s">
        <v>1601</v>
      </c>
    </row>
    <row r="961">
      <c r="A961" s="97" t="s">
        <v>2156</v>
      </c>
      <c r="B961" s="97">
        <v>7.86909252E8</v>
      </c>
      <c r="C961" s="97" t="s">
        <v>1601</v>
      </c>
    </row>
    <row r="962">
      <c r="A962" s="97" t="s">
        <v>2157</v>
      </c>
      <c r="B962" s="97">
        <v>7.43012137E8</v>
      </c>
      <c r="C962" s="97" t="s">
        <v>1125</v>
      </c>
    </row>
    <row r="963">
      <c r="A963" s="97" t="s">
        <v>2158</v>
      </c>
      <c r="B963" s="97">
        <v>7.7569575E7</v>
      </c>
      <c r="C963" s="97" t="s">
        <v>1601</v>
      </c>
    </row>
    <row r="964">
      <c r="A964" s="97" t="s">
        <v>2159</v>
      </c>
      <c r="B964" s="97">
        <v>7.6254973E8</v>
      </c>
      <c r="C964" s="97" t="s">
        <v>1601</v>
      </c>
    </row>
    <row r="965">
      <c r="A965" s="97" t="s">
        <v>2160</v>
      </c>
      <c r="B965" s="97">
        <v>7.0140217E8</v>
      </c>
      <c r="C965" s="97" t="s">
        <v>1125</v>
      </c>
    </row>
    <row r="966">
      <c r="A966" s="97" t="s">
        <v>2161</v>
      </c>
      <c r="B966" s="97">
        <v>7.03449552E8</v>
      </c>
      <c r="C966" s="97" t="s">
        <v>1742</v>
      </c>
    </row>
    <row r="967">
      <c r="A967" s="97" t="s">
        <v>2162</v>
      </c>
      <c r="B967" s="97">
        <v>7.40318621E8</v>
      </c>
      <c r="C967" s="97" t="s">
        <v>1742</v>
      </c>
    </row>
    <row r="968">
      <c r="A968" s="97" t="s">
        <v>2163</v>
      </c>
      <c r="B968" s="97">
        <v>7.08716897E8</v>
      </c>
      <c r="C968" s="97" t="s">
        <v>1856</v>
      </c>
    </row>
    <row r="969">
      <c r="A969" s="97" t="s">
        <v>2164</v>
      </c>
      <c r="B969" s="97">
        <v>7.44473555E8</v>
      </c>
      <c r="C969" s="97" t="s">
        <v>1856</v>
      </c>
    </row>
    <row r="970">
      <c r="A970" s="97" t="s">
        <v>2165</v>
      </c>
      <c r="B970" s="97">
        <v>7.06601257E8</v>
      </c>
      <c r="C970" s="97" t="s">
        <v>1842</v>
      </c>
    </row>
    <row r="971">
      <c r="A971" s="97" t="s">
        <v>2166</v>
      </c>
      <c r="B971" s="97">
        <v>7.71286779E8</v>
      </c>
      <c r="C971" s="97" t="s">
        <v>1842</v>
      </c>
    </row>
    <row r="972">
      <c r="A972" s="97" t="s">
        <v>2167</v>
      </c>
      <c r="B972" s="97">
        <v>7.05535215E8</v>
      </c>
      <c r="C972" s="97" t="s">
        <v>1842</v>
      </c>
    </row>
    <row r="973">
      <c r="A973" s="97" t="s">
        <v>2168</v>
      </c>
      <c r="B973" s="97">
        <v>7.73381822E8</v>
      </c>
      <c r="C973" s="97" t="s">
        <v>1842</v>
      </c>
    </row>
    <row r="974">
      <c r="A974" s="97" t="s">
        <v>2169</v>
      </c>
      <c r="B974" s="97">
        <v>7.57655192E8</v>
      </c>
      <c r="C974" s="97" t="s">
        <v>1842</v>
      </c>
    </row>
    <row r="975">
      <c r="A975" s="97" t="s">
        <v>2170</v>
      </c>
      <c r="B975" s="97">
        <v>7.00359734E8</v>
      </c>
      <c r="C975" s="97" t="s">
        <v>1842</v>
      </c>
    </row>
    <row r="976">
      <c r="A976" s="97" t="s">
        <v>2171</v>
      </c>
      <c r="B976" s="97">
        <v>7.53518075E8</v>
      </c>
      <c r="C976" s="97" t="s">
        <v>1842</v>
      </c>
    </row>
    <row r="977">
      <c r="A977" s="97" t="s">
        <v>2172</v>
      </c>
      <c r="B977" s="97">
        <v>7.77026236E8</v>
      </c>
      <c r="C977" s="97" t="s">
        <v>2173</v>
      </c>
    </row>
    <row r="978">
      <c r="A978" s="97" t="s">
        <v>2174</v>
      </c>
      <c r="B978" s="97">
        <v>7.08289218E8</v>
      </c>
      <c r="C978" s="97" t="s">
        <v>1832</v>
      </c>
    </row>
    <row r="979">
      <c r="A979" s="97" t="s">
        <v>2175</v>
      </c>
      <c r="B979" s="97">
        <v>7.45163261E8</v>
      </c>
      <c r="C979" s="97" t="s">
        <v>1842</v>
      </c>
    </row>
    <row r="980">
      <c r="A980" s="97" t="s">
        <v>2176</v>
      </c>
      <c r="B980" s="97">
        <v>7.7821282E8</v>
      </c>
      <c r="C980" s="97" t="s">
        <v>1842</v>
      </c>
    </row>
    <row r="981">
      <c r="A981" s="97" t="s">
        <v>2177</v>
      </c>
      <c r="B981" s="97">
        <v>7.86518651E8</v>
      </c>
      <c r="C981" s="97" t="s">
        <v>1842</v>
      </c>
    </row>
    <row r="982">
      <c r="A982" s="97" t="s">
        <v>2178</v>
      </c>
      <c r="B982" s="97">
        <v>7.69906894E8</v>
      </c>
      <c r="C982" s="97" t="s">
        <v>2047</v>
      </c>
    </row>
    <row r="983">
      <c r="A983" s="97" t="s">
        <v>2179</v>
      </c>
      <c r="B983" s="97">
        <v>7.01816318E8</v>
      </c>
      <c r="C983" s="97" t="s">
        <v>2047</v>
      </c>
    </row>
    <row r="984">
      <c r="A984" s="97" t="s">
        <v>2180</v>
      </c>
      <c r="B984" s="97">
        <v>7.41172144E8</v>
      </c>
      <c r="C984" s="97" t="s">
        <v>2047</v>
      </c>
    </row>
    <row r="985">
      <c r="A985" s="97" t="s">
        <v>2181</v>
      </c>
      <c r="B985" s="97">
        <v>7.62050557E8</v>
      </c>
      <c r="C985" s="97" t="s">
        <v>1663</v>
      </c>
    </row>
    <row r="986">
      <c r="A986" s="97" t="s">
        <v>2182</v>
      </c>
      <c r="B986" s="97">
        <v>7.05927739E8</v>
      </c>
      <c r="C986" s="97" t="s">
        <v>2183</v>
      </c>
    </row>
    <row r="987">
      <c r="A987" s="97" t="s">
        <v>2184</v>
      </c>
      <c r="B987" s="97">
        <v>7.08711569E8</v>
      </c>
      <c r="C987" s="97" t="s">
        <v>1631</v>
      </c>
    </row>
    <row r="988">
      <c r="A988" s="97" t="s">
        <v>2185</v>
      </c>
      <c r="B988" s="97">
        <v>7.55718787E8</v>
      </c>
      <c r="C988" s="97" t="s">
        <v>2186</v>
      </c>
    </row>
    <row r="989">
      <c r="A989" s="97" t="s">
        <v>2187</v>
      </c>
      <c r="B989" s="97">
        <v>7.53499835E8</v>
      </c>
      <c r="C989" s="97" t="s">
        <v>1125</v>
      </c>
    </row>
    <row r="990">
      <c r="A990" s="97" t="s">
        <v>2188</v>
      </c>
      <c r="B990" s="97">
        <v>7.08427348E8</v>
      </c>
      <c r="C990" s="97" t="s">
        <v>1832</v>
      </c>
    </row>
    <row r="991">
      <c r="A991" s="97" t="s">
        <v>2189</v>
      </c>
      <c r="B991" s="97">
        <v>7.56026274E8</v>
      </c>
      <c r="C991" s="97" t="s">
        <v>920</v>
      </c>
    </row>
    <row r="992">
      <c r="A992" s="97" t="s">
        <v>2190</v>
      </c>
      <c r="B992" s="97">
        <v>7.82472259E8</v>
      </c>
      <c r="C992" s="97" t="s">
        <v>920</v>
      </c>
    </row>
    <row r="993">
      <c r="A993" s="97" t="s">
        <v>2191</v>
      </c>
      <c r="B993" s="97">
        <v>7.51260825E8</v>
      </c>
      <c r="C993" s="97" t="s">
        <v>2035</v>
      </c>
    </row>
    <row r="994">
      <c r="A994" s="97" t="s">
        <v>2192</v>
      </c>
      <c r="B994" s="97">
        <v>7.57828174E8</v>
      </c>
      <c r="C994" s="97" t="s">
        <v>2035</v>
      </c>
    </row>
    <row r="995">
      <c r="A995" s="97" t="s">
        <v>2193</v>
      </c>
      <c r="B995" s="97">
        <v>7.57894388E8</v>
      </c>
      <c r="C995" s="97" t="s">
        <v>1842</v>
      </c>
    </row>
    <row r="996">
      <c r="A996" s="97" t="s">
        <v>2194</v>
      </c>
      <c r="B996" s="97">
        <v>7.76561505E8</v>
      </c>
      <c r="C996" s="97" t="s">
        <v>1842</v>
      </c>
    </row>
    <row r="997">
      <c r="A997" s="97" t="s">
        <v>2195</v>
      </c>
      <c r="B997" s="97">
        <v>7.08989095E8</v>
      </c>
      <c r="C997" s="97" t="s">
        <v>1842</v>
      </c>
    </row>
    <row r="998">
      <c r="A998" s="97" t="s">
        <v>2196</v>
      </c>
      <c r="B998" s="97">
        <v>7.83580922E8</v>
      </c>
      <c r="C998" s="97" t="s">
        <v>1842</v>
      </c>
    </row>
    <row r="999">
      <c r="A999" s="97" t="s">
        <v>2197</v>
      </c>
      <c r="B999" s="97">
        <v>7.03995489E8</v>
      </c>
      <c r="C999" s="97" t="s">
        <v>1842</v>
      </c>
    </row>
    <row r="1000">
      <c r="A1000" s="97" t="s">
        <v>2198</v>
      </c>
      <c r="B1000" s="97">
        <v>7.51648547E8</v>
      </c>
      <c r="C1000" s="97" t="s">
        <v>1842</v>
      </c>
    </row>
    <row r="1001">
      <c r="A1001" s="97" t="s">
        <v>2199</v>
      </c>
      <c r="B1001" s="97">
        <v>7.08269724E8</v>
      </c>
      <c r="C1001" s="97" t="s">
        <v>1842</v>
      </c>
    </row>
    <row r="1002">
      <c r="A1002" s="97" t="s">
        <v>2200</v>
      </c>
      <c r="B1002" s="97">
        <v>7.60719758E8</v>
      </c>
      <c r="C1002" s="97" t="s">
        <v>1842</v>
      </c>
    </row>
    <row r="1003">
      <c r="A1003" s="97" t="s">
        <v>2201</v>
      </c>
      <c r="B1003" s="97">
        <v>7.06812115E8</v>
      </c>
      <c r="C1003" s="97" t="s">
        <v>1842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22.0"/>
  </cols>
  <sheetData>
    <row r="1">
      <c r="A1" s="97" t="s">
        <v>2202</v>
      </c>
      <c r="B1" s="99" t="s">
        <v>2203</v>
      </c>
      <c r="C1" s="99" t="s">
        <v>1118</v>
      </c>
    </row>
    <row r="2">
      <c r="A2" s="99" t="s">
        <v>2204</v>
      </c>
      <c r="B2" s="99">
        <v>7.53386736E8</v>
      </c>
      <c r="C2" s="99" t="s">
        <v>2205</v>
      </c>
    </row>
    <row r="3">
      <c r="A3" s="99" t="s">
        <v>2206</v>
      </c>
      <c r="B3" s="99">
        <v>7.00885126E8</v>
      </c>
      <c r="C3" s="99" t="s">
        <v>2205</v>
      </c>
    </row>
    <row r="4">
      <c r="A4" s="99" t="s">
        <v>2207</v>
      </c>
      <c r="B4" s="99">
        <v>7.83683068E8</v>
      </c>
      <c r="C4" s="99" t="s">
        <v>2205</v>
      </c>
    </row>
    <row r="5">
      <c r="A5" s="99" t="s">
        <v>2208</v>
      </c>
      <c r="B5" s="99">
        <v>7.772503E8</v>
      </c>
      <c r="C5" s="99" t="s">
        <v>2205</v>
      </c>
    </row>
    <row r="6">
      <c r="A6" s="99" t="s">
        <v>2209</v>
      </c>
      <c r="B6" s="99">
        <v>7.72618497E8</v>
      </c>
      <c r="C6" s="99" t="s">
        <v>2205</v>
      </c>
    </row>
    <row r="7">
      <c r="A7" s="99" t="s">
        <v>2210</v>
      </c>
      <c r="B7" s="99">
        <v>7.72413066E8</v>
      </c>
      <c r="C7" s="99" t="s">
        <v>2205</v>
      </c>
    </row>
    <row r="8">
      <c r="A8" s="99" t="s">
        <v>2211</v>
      </c>
      <c r="B8" s="99">
        <v>7.72501509E8</v>
      </c>
      <c r="C8" s="99" t="s">
        <v>2205</v>
      </c>
    </row>
    <row r="9">
      <c r="A9" s="99" t="s">
        <v>2212</v>
      </c>
      <c r="B9" s="99">
        <v>7.78280847E8</v>
      </c>
      <c r="C9" s="99" t="s">
        <v>2205</v>
      </c>
    </row>
    <row r="10">
      <c r="A10" s="99" t="s">
        <v>2213</v>
      </c>
      <c r="B10" s="99">
        <v>7.72432888E8</v>
      </c>
      <c r="C10" s="99" t="s">
        <v>2205</v>
      </c>
    </row>
    <row r="11">
      <c r="A11" s="99" t="s">
        <v>2214</v>
      </c>
      <c r="B11" s="99">
        <v>7.82658908E8</v>
      </c>
      <c r="C11" s="99" t="s">
        <v>2205</v>
      </c>
    </row>
    <row r="12">
      <c r="A12" s="99" t="s">
        <v>2215</v>
      </c>
      <c r="B12" s="99">
        <v>7.75571273E8</v>
      </c>
      <c r="C12" s="99" t="s">
        <v>2205</v>
      </c>
    </row>
    <row r="13">
      <c r="A13" s="99" t="s">
        <v>2216</v>
      </c>
      <c r="B13" s="99">
        <v>7.75627743E8</v>
      </c>
      <c r="C13" s="99" t="s">
        <v>2205</v>
      </c>
    </row>
    <row r="14">
      <c r="A14" s="99" t="s">
        <v>2217</v>
      </c>
      <c r="B14" s="99">
        <v>7.03100123E8</v>
      </c>
      <c r="C14" s="99" t="s">
        <v>2205</v>
      </c>
    </row>
    <row r="15">
      <c r="A15" s="99" t="s">
        <v>2218</v>
      </c>
      <c r="B15" s="99">
        <v>7.73139579E8</v>
      </c>
      <c r="C15" s="99" t="s">
        <v>2205</v>
      </c>
    </row>
    <row r="16">
      <c r="A16" s="99" t="s">
        <v>2219</v>
      </c>
      <c r="B16" s="99">
        <v>7.78340538E8</v>
      </c>
      <c r="C16" s="99" t="s">
        <v>2205</v>
      </c>
    </row>
    <row r="17">
      <c r="A17" s="99" t="s">
        <v>2220</v>
      </c>
      <c r="B17" s="99">
        <v>7.8440619E8</v>
      </c>
      <c r="C17" s="99" t="s">
        <v>2205</v>
      </c>
    </row>
    <row r="18">
      <c r="A18" s="99" t="s">
        <v>2221</v>
      </c>
      <c r="B18" s="99">
        <v>7.78441716E8</v>
      </c>
      <c r="C18" s="99" t="s">
        <v>2205</v>
      </c>
    </row>
    <row r="19">
      <c r="A19" s="99" t="s">
        <v>2222</v>
      </c>
      <c r="B19" s="99">
        <v>7.746161E8</v>
      </c>
      <c r="C19" s="99" t="s">
        <v>2205</v>
      </c>
    </row>
    <row r="20">
      <c r="A20" s="99" t="s">
        <v>2223</v>
      </c>
      <c r="B20" s="99">
        <v>7.0562602E8</v>
      </c>
      <c r="C20" s="99" t="s">
        <v>2205</v>
      </c>
    </row>
    <row r="21">
      <c r="A21" s="99" t="s">
        <v>2224</v>
      </c>
      <c r="B21" s="99">
        <v>7.78544425E8</v>
      </c>
      <c r="C21" s="99" t="s">
        <v>2205</v>
      </c>
    </row>
    <row r="22">
      <c r="A22" s="99" t="s">
        <v>2225</v>
      </c>
      <c r="B22" s="99">
        <v>7.78528806E8</v>
      </c>
      <c r="C22" s="99" t="s">
        <v>2205</v>
      </c>
    </row>
    <row r="23">
      <c r="A23" s="99" t="s">
        <v>2226</v>
      </c>
      <c r="B23" s="99">
        <v>7.75090511E8</v>
      </c>
      <c r="C23" s="99" t="s">
        <v>2205</v>
      </c>
    </row>
    <row r="24">
      <c r="A24" s="99" t="s">
        <v>2227</v>
      </c>
      <c r="B24" s="99">
        <v>7.72961259E8</v>
      </c>
      <c r="C24" s="99" t="s">
        <v>2205</v>
      </c>
    </row>
    <row r="25">
      <c r="A25" s="99" t="s">
        <v>2228</v>
      </c>
      <c r="B25" s="99">
        <v>7.85298002E8</v>
      </c>
      <c r="C25" s="99" t="s">
        <v>2205</v>
      </c>
    </row>
    <row r="26">
      <c r="A26" s="99" t="s">
        <v>2229</v>
      </c>
      <c r="B26" s="99">
        <v>7.05566559E8</v>
      </c>
      <c r="C26" s="99" t="s">
        <v>2230</v>
      </c>
    </row>
    <row r="27">
      <c r="A27" s="99" t="s">
        <v>2231</v>
      </c>
      <c r="B27" s="99">
        <v>7.72171162E8</v>
      </c>
      <c r="C27" s="99" t="s">
        <v>2230</v>
      </c>
    </row>
    <row r="28">
      <c r="A28" s="99" t="s">
        <v>2232</v>
      </c>
      <c r="B28" s="99">
        <v>7.71645875E8</v>
      </c>
      <c r="C28" s="99" t="s">
        <v>2230</v>
      </c>
    </row>
    <row r="29">
      <c r="A29" s="99" t="s">
        <v>2233</v>
      </c>
      <c r="B29" s="99">
        <v>7.7949424E8</v>
      </c>
      <c r="C29" s="99" t="s">
        <v>2230</v>
      </c>
    </row>
    <row r="30">
      <c r="A30" s="99" t="s">
        <v>2234</v>
      </c>
      <c r="B30" s="99">
        <v>7.02549722E8</v>
      </c>
      <c r="C30" s="99" t="s">
        <v>2230</v>
      </c>
    </row>
    <row r="31">
      <c r="A31" s="99" t="s">
        <v>2235</v>
      </c>
      <c r="B31" s="99">
        <v>7.01390659E8</v>
      </c>
      <c r="C31" s="99" t="s">
        <v>2230</v>
      </c>
    </row>
    <row r="32">
      <c r="A32" s="99" t="s">
        <v>2236</v>
      </c>
      <c r="B32" s="99">
        <v>7.72549722E8</v>
      </c>
      <c r="C32" s="99" t="s">
        <v>2230</v>
      </c>
    </row>
    <row r="33">
      <c r="A33" s="99" t="s">
        <v>2237</v>
      </c>
      <c r="B33" s="99">
        <v>7.72886944E8</v>
      </c>
      <c r="C33" s="99" t="s">
        <v>2230</v>
      </c>
    </row>
    <row r="34">
      <c r="A34" s="99" t="s">
        <v>2238</v>
      </c>
      <c r="B34" s="99">
        <v>7.79922929E8</v>
      </c>
      <c r="C34" s="99" t="s">
        <v>2230</v>
      </c>
    </row>
    <row r="35">
      <c r="A35" s="99" t="s">
        <v>2239</v>
      </c>
      <c r="B35" s="99">
        <v>7.77261055E8</v>
      </c>
      <c r="C35" s="99" t="s">
        <v>2230</v>
      </c>
    </row>
    <row r="36">
      <c r="A36" s="99" t="s">
        <v>2240</v>
      </c>
      <c r="B36" s="99">
        <v>7.56897832E8</v>
      </c>
      <c r="C36" s="99" t="s">
        <v>2230</v>
      </c>
    </row>
    <row r="37">
      <c r="A37" s="99" t="s">
        <v>2241</v>
      </c>
      <c r="B37" s="99">
        <v>7.56883215E8</v>
      </c>
      <c r="C37" s="99" t="s">
        <v>2230</v>
      </c>
    </row>
    <row r="38">
      <c r="A38" s="99" t="s">
        <v>2242</v>
      </c>
      <c r="B38" s="99">
        <v>7.54009135E8</v>
      </c>
      <c r="C38" s="99" t="s">
        <v>2230</v>
      </c>
    </row>
    <row r="39">
      <c r="A39" s="99" t="s">
        <v>2243</v>
      </c>
      <c r="B39" s="99">
        <v>7.72501025E8</v>
      </c>
      <c r="C39" s="99" t="s">
        <v>2230</v>
      </c>
    </row>
    <row r="40">
      <c r="A40" s="99" t="s">
        <v>2244</v>
      </c>
      <c r="B40" s="99">
        <v>7.72500629E8</v>
      </c>
      <c r="C40" s="99" t="s">
        <v>2230</v>
      </c>
    </row>
    <row r="41">
      <c r="A41" s="99" t="s">
        <v>2245</v>
      </c>
      <c r="B41" s="99">
        <v>7.02999975E8</v>
      </c>
      <c r="C41" s="99" t="s">
        <v>2230</v>
      </c>
    </row>
    <row r="42">
      <c r="A42" s="99" t="s">
        <v>2246</v>
      </c>
      <c r="B42" s="99">
        <v>7.73585128E8</v>
      </c>
      <c r="C42" s="99" t="s">
        <v>2230</v>
      </c>
    </row>
    <row r="43">
      <c r="A43" s="99" t="s">
        <v>2247</v>
      </c>
      <c r="B43" s="99">
        <v>7.7619016E8</v>
      </c>
      <c r="C43" s="99" t="s">
        <v>2248</v>
      </c>
    </row>
    <row r="44">
      <c r="A44" s="99" t="s">
        <v>2249</v>
      </c>
      <c r="B44" s="99">
        <v>7.03973971E8</v>
      </c>
      <c r="C44" s="99" t="s">
        <v>2248</v>
      </c>
    </row>
    <row r="45">
      <c r="A45" s="99" t="s">
        <v>2250</v>
      </c>
      <c r="B45" s="99">
        <v>7.04616904E8</v>
      </c>
      <c r="C45" s="99" t="s">
        <v>2248</v>
      </c>
    </row>
    <row r="46">
      <c r="A46" s="99" t="s">
        <v>2251</v>
      </c>
      <c r="B46" s="99">
        <v>7.73656961E8</v>
      </c>
      <c r="C46" s="99" t="s">
        <v>2248</v>
      </c>
    </row>
    <row r="47">
      <c r="A47" s="99" t="s">
        <v>2252</v>
      </c>
      <c r="B47" s="99">
        <v>7.53009096E8</v>
      </c>
      <c r="C47" s="99" t="s">
        <v>2248</v>
      </c>
    </row>
    <row r="48">
      <c r="A48" s="99" t="s">
        <v>2253</v>
      </c>
      <c r="B48" s="99">
        <v>7.01150609E8</v>
      </c>
      <c r="C48" s="99" t="s">
        <v>2248</v>
      </c>
    </row>
    <row r="49">
      <c r="A49" s="99" t="s">
        <v>2254</v>
      </c>
      <c r="B49" s="99">
        <v>7.85469992E8</v>
      </c>
      <c r="C49" s="99" t="s">
        <v>2248</v>
      </c>
    </row>
    <row r="50">
      <c r="A50" s="99" t="s">
        <v>2255</v>
      </c>
      <c r="B50" s="99">
        <v>7.72688995E8</v>
      </c>
      <c r="C50" s="99" t="s">
        <v>2248</v>
      </c>
    </row>
    <row r="51">
      <c r="A51" s="99" t="s">
        <v>2256</v>
      </c>
      <c r="B51" s="99">
        <v>7.72576804E8</v>
      </c>
      <c r="C51" s="99" t="s">
        <v>2257</v>
      </c>
    </row>
    <row r="52">
      <c r="A52" s="99" t="s">
        <v>2258</v>
      </c>
      <c r="B52" s="99">
        <v>7.795307E8</v>
      </c>
      <c r="C52" s="99" t="s">
        <v>2248</v>
      </c>
    </row>
    <row r="53">
      <c r="A53" s="99" t="s">
        <v>2259</v>
      </c>
      <c r="B53" s="99">
        <v>7.82738319E8</v>
      </c>
      <c r="C53" s="99" t="s">
        <v>2248</v>
      </c>
    </row>
    <row r="54">
      <c r="A54" s="99" t="s">
        <v>2260</v>
      </c>
      <c r="B54" s="99">
        <v>7.72499432E8</v>
      </c>
      <c r="C54" s="99" t="s">
        <v>2248</v>
      </c>
    </row>
    <row r="55">
      <c r="A55" s="99" t="s">
        <v>2261</v>
      </c>
      <c r="B55" s="99">
        <v>7.03566529E8</v>
      </c>
      <c r="C55" s="99" t="s">
        <v>2248</v>
      </c>
    </row>
    <row r="56">
      <c r="A56" s="99" t="s">
        <v>2262</v>
      </c>
      <c r="B56" s="99">
        <v>7.72171162E8</v>
      </c>
      <c r="C56" s="99" t="s">
        <v>2248</v>
      </c>
    </row>
    <row r="57">
      <c r="A57" s="99" t="s">
        <v>2263</v>
      </c>
      <c r="B57" s="99">
        <v>7.72494402E8</v>
      </c>
      <c r="C57" s="99" t="s">
        <v>2248</v>
      </c>
    </row>
    <row r="58">
      <c r="A58" s="99" t="s">
        <v>2264</v>
      </c>
      <c r="B58" s="99">
        <v>7.7949484E8</v>
      </c>
      <c r="C58" s="99" t="s">
        <v>2248</v>
      </c>
    </row>
    <row r="59">
      <c r="A59" s="99" t="s">
        <v>2229</v>
      </c>
      <c r="B59" s="99">
        <v>7.78457443E8</v>
      </c>
      <c r="C59" s="99" t="s">
        <v>2248</v>
      </c>
    </row>
    <row r="60">
      <c r="A60" s="99" t="s">
        <v>2231</v>
      </c>
      <c r="B60" s="99">
        <v>7.02544722E8</v>
      </c>
      <c r="C60" s="99" t="s">
        <v>2248</v>
      </c>
    </row>
    <row r="61">
      <c r="A61" s="99" t="s">
        <v>2265</v>
      </c>
      <c r="B61" s="99">
        <v>7.01390681E8</v>
      </c>
      <c r="C61" s="99" t="s">
        <v>2248</v>
      </c>
    </row>
    <row r="62">
      <c r="A62" s="99" t="s">
        <v>2266</v>
      </c>
      <c r="B62" s="99">
        <v>7.72401729E8</v>
      </c>
      <c r="C62" s="99" t="s">
        <v>2248</v>
      </c>
    </row>
    <row r="63">
      <c r="A63" s="99" t="s">
        <v>2267</v>
      </c>
      <c r="B63" s="99">
        <v>7.79922481E8</v>
      </c>
      <c r="C63" s="99" t="s">
        <v>2248</v>
      </c>
    </row>
    <row r="64">
      <c r="A64" s="99" t="s">
        <v>2268</v>
      </c>
      <c r="B64" s="99">
        <v>7.47499702E8</v>
      </c>
      <c r="C64" s="99" t="s">
        <v>2269</v>
      </c>
    </row>
    <row r="65">
      <c r="A65" s="99" t="s">
        <v>2270</v>
      </c>
      <c r="B65" s="99">
        <v>7.03898967E8</v>
      </c>
      <c r="C65" s="99" t="s">
        <v>2269</v>
      </c>
    </row>
    <row r="66">
      <c r="A66" s="99" t="s">
        <v>2271</v>
      </c>
      <c r="B66" s="99">
        <v>7.03662148E8</v>
      </c>
      <c r="C66" s="99" t="s">
        <v>2269</v>
      </c>
    </row>
    <row r="67">
      <c r="A67" s="99" t="s">
        <v>2272</v>
      </c>
      <c r="B67" s="99">
        <v>7.73230321E8</v>
      </c>
      <c r="C67" s="99" t="s">
        <v>2269</v>
      </c>
    </row>
    <row r="68">
      <c r="A68" s="99" t="s">
        <v>2273</v>
      </c>
      <c r="B68" s="99">
        <v>7.48959263E8</v>
      </c>
      <c r="C68" s="99" t="s">
        <v>2269</v>
      </c>
    </row>
    <row r="69">
      <c r="A69" s="99" t="s">
        <v>2274</v>
      </c>
      <c r="B69" s="99">
        <v>7.84992622E8</v>
      </c>
      <c r="C69" s="99" t="s">
        <v>2269</v>
      </c>
    </row>
    <row r="70">
      <c r="A70" s="99" t="s">
        <v>2275</v>
      </c>
      <c r="B70" s="99">
        <v>7.74626256E8</v>
      </c>
      <c r="C70" s="99" t="s">
        <v>2269</v>
      </c>
    </row>
    <row r="71">
      <c r="A71" s="99" t="s">
        <v>2276</v>
      </c>
      <c r="B71" s="99">
        <v>7.53028062E8</v>
      </c>
      <c r="C71" s="99" t="s">
        <v>2269</v>
      </c>
    </row>
    <row r="72">
      <c r="A72" s="99" t="s">
        <v>2277</v>
      </c>
      <c r="B72" s="99">
        <v>7.53028062E8</v>
      </c>
      <c r="C72" s="99" t="s">
        <v>2269</v>
      </c>
    </row>
    <row r="73">
      <c r="A73" s="99" t="s">
        <v>2278</v>
      </c>
      <c r="B73" s="99">
        <v>7.82280334E8</v>
      </c>
      <c r="C73" s="99" t="s">
        <v>2269</v>
      </c>
    </row>
    <row r="74">
      <c r="A74" s="99" t="s">
        <v>2279</v>
      </c>
      <c r="B74" s="99">
        <v>7.72466527E8</v>
      </c>
      <c r="C74" s="99" t="s">
        <v>2280</v>
      </c>
    </row>
    <row r="75">
      <c r="A75" s="99" t="s">
        <v>2281</v>
      </c>
      <c r="B75" s="99">
        <v>7.0655673E8</v>
      </c>
      <c r="C75" s="99" t="s">
        <v>2269</v>
      </c>
    </row>
    <row r="76">
      <c r="A76" s="99" t="s">
        <v>2282</v>
      </c>
      <c r="B76" s="99">
        <v>7.54810848E8</v>
      </c>
      <c r="C76" s="99" t="s">
        <v>2269</v>
      </c>
    </row>
    <row r="77">
      <c r="A77" s="99" t="s">
        <v>2283</v>
      </c>
      <c r="B77" s="99">
        <v>7.73949085E8</v>
      </c>
      <c r="C77" s="99" t="s">
        <v>2269</v>
      </c>
    </row>
    <row r="78">
      <c r="A78" s="99" t="s">
        <v>2284</v>
      </c>
      <c r="B78" s="99">
        <v>7.73949085E8</v>
      </c>
      <c r="C78" s="99" t="s">
        <v>2269</v>
      </c>
    </row>
    <row r="79">
      <c r="A79" s="99" t="s">
        <v>2285</v>
      </c>
      <c r="B79" s="99">
        <v>7.06710944E8</v>
      </c>
      <c r="C79" s="99" t="s">
        <v>2269</v>
      </c>
    </row>
    <row r="80">
      <c r="A80" s="99" t="s">
        <v>2286</v>
      </c>
      <c r="B80" s="99">
        <v>7.00509422E8</v>
      </c>
      <c r="C80" s="99" t="s">
        <v>2269</v>
      </c>
    </row>
    <row r="81">
      <c r="A81" s="99" t="s">
        <v>2287</v>
      </c>
      <c r="B81" s="99">
        <v>7.7481638E8</v>
      </c>
      <c r="C81" s="99" t="s">
        <v>2269</v>
      </c>
    </row>
    <row r="82">
      <c r="A82" s="99" t="s">
        <v>2288</v>
      </c>
      <c r="B82" s="99">
        <v>7.56980889E8</v>
      </c>
      <c r="C82" s="99" t="s">
        <v>2269</v>
      </c>
    </row>
    <row r="83">
      <c r="A83" s="99" t="s">
        <v>2289</v>
      </c>
      <c r="B83" s="99">
        <v>7.01132762E8</v>
      </c>
      <c r="C83" s="99" t="s">
        <v>2269</v>
      </c>
    </row>
    <row r="84">
      <c r="A84" s="99" t="s">
        <v>2290</v>
      </c>
      <c r="B84" s="99">
        <v>7.59070516E8</v>
      </c>
      <c r="C84" s="99" t="s">
        <v>2269</v>
      </c>
    </row>
    <row r="85">
      <c r="A85" s="99" t="s">
        <v>2291</v>
      </c>
      <c r="B85" s="99">
        <v>7.01740221E8</v>
      </c>
      <c r="C85" s="99" t="s">
        <v>2269</v>
      </c>
    </row>
    <row r="86">
      <c r="A86" s="99" t="s">
        <v>2292</v>
      </c>
      <c r="B86" s="99">
        <v>7.72120728E8</v>
      </c>
      <c r="C86" s="99" t="s">
        <v>2269</v>
      </c>
    </row>
    <row r="87">
      <c r="A87" s="99" t="s">
        <v>2293</v>
      </c>
      <c r="B87" s="99">
        <v>7.72445124E8</v>
      </c>
      <c r="C87" s="99" t="s">
        <v>2269</v>
      </c>
    </row>
    <row r="88">
      <c r="A88" s="99" t="s">
        <v>2294</v>
      </c>
      <c r="B88" s="99">
        <v>7.8292458E8</v>
      </c>
      <c r="C88" s="99" t="s">
        <v>2269</v>
      </c>
    </row>
    <row r="89">
      <c r="A89" s="99" t="s">
        <v>2295</v>
      </c>
      <c r="B89" s="99">
        <v>7.01042711E8</v>
      </c>
      <c r="C89" s="99" t="s">
        <v>2269</v>
      </c>
    </row>
    <row r="90">
      <c r="A90" s="99" t="s">
        <v>2296</v>
      </c>
      <c r="B90" s="99">
        <v>7.83539095E8</v>
      </c>
      <c r="C90" s="99" t="s">
        <v>2269</v>
      </c>
    </row>
    <row r="91">
      <c r="A91" s="99" t="s">
        <v>2297</v>
      </c>
      <c r="B91" s="99">
        <v>7.77232415E8</v>
      </c>
      <c r="C91" s="99" t="s">
        <v>2269</v>
      </c>
    </row>
    <row r="92">
      <c r="A92" s="99" t="s">
        <v>2298</v>
      </c>
      <c r="B92" s="99">
        <v>7.8257841E8</v>
      </c>
      <c r="C92" s="99" t="s">
        <v>2269</v>
      </c>
    </row>
    <row r="93">
      <c r="A93" s="99" t="s">
        <v>2299</v>
      </c>
      <c r="B93" s="99">
        <v>7.52213374E8</v>
      </c>
      <c r="C93" s="99" t="s">
        <v>2269</v>
      </c>
    </row>
    <row r="94">
      <c r="A94" s="99" t="s">
        <v>2300</v>
      </c>
      <c r="B94" s="99">
        <v>7.72848864E8</v>
      </c>
      <c r="C94" s="99" t="s">
        <v>2269</v>
      </c>
    </row>
    <row r="95">
      <c r="A95" s="99" t="s">
        <v>2301</v>
      </c>
      <c r="B95" s="99">
        <v>7.84670258E8</v>
      </c>
      <c r="C95" s="99" t="s">
        <v>2269</v>
      </c>
    </row>
    <row r="96">
      <c r="A96" s="99" t="s">
        <v>2302</v>
      </c>
      <c r="B96" s="99">
        <v>7.0015974E8</v>
      </c>
      <c r="C96" s="99" t="s">
        <v>2230</v>
      </c>
    </row>
    <row r="97">
      <c r="A97" s="99" t="s">
        <v>2303</v>
      </c>
      <c r="B97" s="99">
        <v>7.55444986E8</v>
      </c>
      <c r="C97" s="99" t="s">
        <v>2230</v>
      </c>
    </row>
    <row r="98">
      <c r="A98" s="99" t="s">
        <v>2304</v>
      </c>
      <c r="B98" s="99">
        <v>7.72619804E8</v>
      </c>
      <c r="C98" s="99" t="s">
        <v>2230</v>
      </c>
    </row>
    <row r="99">
      <c r="A99" s="99" t="s">
        <v>2305</v>
      </c>
      <c r="B99" s="99">
        <v>7.72619804E8</v>
      </c>
      <c r="C99" s="99" t="s">
        <v>2230</v>
      </c>
    </row>
    <row r="100">
      <c r="A100" s="99" t="s">
        <v>2306</v>
      </c>
      <c r="B100" s="99">
        <v>7.72416215E8</v>
      </c>
      <c r="C100" s="99" t="s">
        <v>2230</v>
      </c>
    </row>
    <row r="101">
      <c r="A101" s="99" t="s">
        <v>2307</v>
      </c>
      <c r="B101" s="99">
        <v>7.71605077E8</v>
      </c>
      <c r="C101" s="99" t="s">
        <v>2230</v>
      </c>
    </row>
    <row r="102">
      <c r="A102" s="99" t="s">
        <v>2308</v>
      </c>
      <c r="B102" s="99">
        <v>7.59673354E8</v>
      </c>
      <c r="C102" s="99" t="s">
        <v>2230</v>
      </c>
    </row>
    <row r="103">
      <c r="A103" s="99" t="s">
        <v>2309</v>
      </c>
      <c r="B103" s="99">
        <v>7.72829648E8</v>
      </c>
      <c r="C103" s="99" t="s">
        <v>2230</v>
      </c>
    </row>
    <row r="104">
      <c r="A104" s="99" t="s">
        <v>2310</v>
      </c>
      <c r="B104" s="99">
        <v>7.74591931E8</v>
      </c>
      <c r="C104" s="99" t="s">
        <v>2230</v>
      </c>
    </row>
    <row r="105">
      <c r="A105" s="99" t="s">
        <v>2311</v>
      </c>
      <c r="B105" s="99">
        <v>7.74656096E8</v>
      </c>
      <c r="C105" s="99" t="s">
        <v>2230</v>
      </c>
    </row>
    <row r="106">
      <c r="A106" s="99" t="s">
        <v>2312</v>
      </c>
      <c r="B106" s="99">
        <v>7.79594511E8</v>
      </c>
      <c r="C106" s="99" t="s">
        <v>2230</v>
      </c>
    </row>
    <row r="107">
      <c r="A107" s="99" t="s">
        <v>2313</v>
      </c>
      <c r="B107" s="99">
        <v>7.5642836E8</v>
      </c>
      <c r="C107" s="99" t="s">
        <v>2230</v>
      </c>
    </row>
    <row r="108">
      <c r="A108" s="99" t="s">
        <v>2314</v>
      </c>
      <c r="B108" s="99">
        <v>7.05313486E8</v>
      </c>
      <c r="C108" s="99" t="s">
        <v>2230</v>
      </c>
    </row>
    <row r="109">
      <c r="A109" s="99" t="s">
        <v>2315</v>
      </c>
      <c r="B109" s="99">
        <v>7.58873522E8</v>
      </c>
      <c r="C109" s="99" t="s">
        <v>2316</v>
      </c>
    </row>
    <row r="110">
      <c r="A110" s="99" t="s">
        <v>2317</v>
      </c>
      <c r="B110" s="99">
        <v>7.75948204E8</v>
      </c>
      <c r="C110" s="99" t="s">
        <v>2316</v>
      </c>
    </row>
    <row r="111">
      <c r="A111" s="99" t="s">
        <v>2318</v>
      </c>
      <c r="B111" s="99">
        <v>7.71674511E8</v>
      </c>
      <c r="C111" s="99" t="s">
        <v>2316</v>
      </c>
    </row>
    <row r="112">
      <c r="A112" s="99" t="s">
        <v>2319</v>
      </c>
      <c r="B112" s="99">
        <v>7.82455032E8</v>
      </c>
      <c r="C112" s="99" t="s">
        <v>2316</v>
      </c>
    </row>
    <row r="113">
      <c r="A113" s="99" t="s">
        <v>2320</v>
      </c>
      <c r="B113" s="99">
        <v>7.82028769E8</v>
      </c>
      <c r="C113" s="99" t="s">
        <v>2316</v>
      </c>
    </row>
    <row r="114">
      <c r="A114" s="99" t="s">
        <v>2321</v>
      </c>
      <c r="B114" s="99">
        <v>7.73851412E8</v>
      </c>
      <c r="C114" s="99" t="s">
        <v>2316</v>
      </c>
    </row>
    <row r="115">
      <c r="A115" s="99" t="s">
        <v>2322</v>
      </c>
      <c r="B115" s="99">
        <v>7.03840929E8</v>
      </c>
      <c r="C115" s="99" t="s">
        <v>2316</v>
      </c>
    </row>
    <row r="116">
      <c r="A116" s="99" t="s">
        <v>2323</v>
      </c>
      <c r="B116" s="99">
        <v>7.72403976E8</v>
      </c>
      <c r="C116" s="99" t="s">
        <v>2316</v>
      </c>
    </row>
    <row r="117">
      <c r="A117" s="99" t="s">
        <v>2324</v>
      </c>
      <c r="B117" s="99">
        <v>7.72039222E8</v>
      </c>
      <c r="C117" s="99" t="s">
        <v>2316</v>
      </c>
    </row>
    <row r="118">
      <c r="A118" s="99" t="s">
        <v>2325</v>
      </c>
      <c r="B118" s="99">
        <v>7.81321804E8</v>
      </c>
      <c r="C118" s="99" t="s">
        <v>2316</v>
      </c>
    </row>
    <row r="119">
      <c r="A119" s="99" t="s">
        <v>2326</v>
      </c>
      <c r="B119" s="99">
        <v>7.71000577E8</v>
      </c>
      <c r="C119" s="99" t="s">
        <v>2316</v>
      </c>
    </row>
    <row r="120">
      <c r="A120" s="99" t="s">
        <v>2327</v>
      </c>
      <c r="B120" s="99">
        <v>7.00272998E8</v>
      </c>
      <c r="C120" s="99" t="s">
        <v>2316</v>
      </c>
    </row>
    <row r="121">
      <c r="A121" s="99" t="s">
        <v>2328</v>
      </c>
      <c r="B121" s="99">
        <v>7.88242021E8</v>
      </c>
      <c r="C121" s="99" t="s">
        <v>2316</v>
      </c>
    </row>
    <row r="122">
      <c r="A122" s="99" t="s">
        <v>2329</v>
      </c>
      <c r="B122" s="99">
        <v>7.06934905E8</v>
      </c>
      <c r="C122" s="99" t="s">
        <v>2316</v>
      </c>
    </row>
    <row r="123">
      <c r="A123" s="99" t="s">
        <v>2330</v>
      </c>
      <c r="B123" s="99">
        <v>7.52293351E8</v>
      </c>
      <c r="C123" s="99" t="s">
        <v>2316</v>
      </c>
    </row>
    <row r="124">
      <c r="A124" s="99" t="s">
        <v>2331</v>
      </c>
      <c r="B124" s="99">
        <v>7.51295558E8</v>
      </c>
      <c r="C124" s="99" t="s">
        <v>2316</v>
      </c>
    </row>
    <row r="125">
      <c r="A125" s="99" t="s">
        <v>2332</v>
      </c>
      <c r="B125" s="99">
        <v>7.53857303E8</v>
      </c>
      <c r="C125" s="99" t="s">
        <v>2316</v>
      </c>
    </row>
    <row r="126">
      <c r="A126" s="99" t="s">
        <v>2333</v>
      </c>
      <c r="B126" s="99">
        <v>7.72040703E8</v>
      </c>
      <c r="C126" s="99" t="s">
        <v>2316</v>
      </c>
    </row>
    <row r="127">
      <c r="A127" s="99" t="s">
        <v>2334</v>
      </c>
      <c r="B127" s="99">
        <v>7.51643155E8</v>
      </c>
      <c r="C127" s="99" t="s">
        <v>2316</v>
      </c>
    </row>
    <row r="128">
      <c r="A128" s="99" t="s">
        <v>2335</v>
      </c>
      <c r="B128" s="99">
        <v>7.02821416E8</v>
      </c>
      <c r="C128" s="99" t="s">
        <v>2336</v>
      </c>
    </row>
    <row r="129">
      <c r="A129" s="99" t="s">
        <v>2337</v>
      </c>
      <c r="B129" s="99">
        <v>7.75434389E8</v>
      </c>
      <c r="C129" s="99" t="s">
        <v>2336</v>
      </c>
    </row>
    <row r="130">
      <c r="A130" s="99" t="s">
        <v>2338</v>
      </c>
      <c r="B130" s="99">
        <v>7.73955908E8</v>
      </c>
      <c r="C130" s="99" t="s">
        <v>2336</v>
      </c>
    </row>
    <row r="131">
      <c r="A131" s="99" t="s">
        <v>2339</v>
      </c>
      <c r="B131" s="99">
        <v>7.7567624E8</v>
      </c>
      <c r="C131" s="99" t="s">
        <v>2336</v>
      </c>
    </row>
    <row r="132">
      <c r="A132" s="99" t="s">
        <v>2340</v>
      </c>
      <c r="B132" s="99">
        <v>7.7567624E8</v>
      </c>
      <c r="C132" s="99" t="s">
        <v>2336</v>
      </c>
    </row>
    <row r="133">
      <c r="A133" s="99" t="s">
        <v>2341</v>
      </c>
      <c r="B133" s="99">
        <v>7.88231617E8</v>
      </c>
      <c r="C133" s="99" t="s">
        <v>2342</v>
      </c>
    </row>
    <row r="134">
      <c r="A134" s="99" t="s">
        <v>2343</v>
      </c>
      <c r="B134" s="99">
        <v>7.80877201E8</v>
      </c>
      <c r="C134" s="99" t="s">
        <v>2342</v>
      </c>
    </row>
    <row r="135">
      <c r="A135" s="99" t="s">
        <v>2344</v>
      </c>
      <c r="B135" s="99">
        <v>7.40292918E8</v>
      </c>
      <c r="C135" s="99" t="s">
        <v>2342</v>
      </c>
    </row>
    <row r="136">
      <c r="A136" s="99" t="s">
        <v>2345</v>
      </c>
      <c r="B136" s="99">
        <v>7.48942826E8</v>
      </c>
      <c r="C136" s="99" t="s">
        <v>2342</v>
      </c>
    </row>
    <row r="137">
      <c r="A137" s="99" t="s">
        <v>2346</v>
      </c>
      <c r="B137" s="99">
        <v>7.60489418E8</v>
      </c>
      <c r="C137" s="99" t="s">
        <v>2342</v>
      </c>
    </row>
    <row r="138">
      <c r="A138" s="99" t="s">
        <v>2347</v>
      </c>
      <c r="B138" s="99">
        <v>7.60895261E8</v>
      </c>
      <c r="C138" s="99" t="s">
        <v>2342</v>
      </c>
    </row>
    <row r="139">
      <c r="A139" s="99" t="s">
        <v>2348</v>
      </c>
      <c r="B139" s="99">
        <v>7.7742129E8</v>
      </c>
      <c r="C139" s="99" t="s">
        <v>2342</v>
      </c>
    </row>
    <row r="140">
      <c r="A140" s="99" t="s">
        <v>2349</v>
      </c>
      <c r="B140" s="99">
        <v>7.04895262E8</v>
      </c>
      <c r="C140" s="99" t="s">
        <v>2342</v>
      </c>
    </row>
    <row r="141">
      <c r="A141" s="99" t="s">
        <v>2350</v>
      </c>
      <c r="B141" s="99">
        <v>7.72941902E8</v>
      </c>
      <c r="C141" s="99" t="s">
        <v>2342</v>
      </c>
    </row>
    <row r="142">
      <c r="A142" s="99" t="s">
        <v>2351</v>
      </c>
      <c r="B142" s="99">
        <v>7.05284336E8</v>
      </c>
      <c r="C142" s="99" t="s">
        <v>2342</v>
      </c>
    </row>
    <row r="143">
      <c r="A143" s="99" t="s">
        <v>2352</v>
      </c>
      <c r="B143" s="99">
        <v>7.59070808E8</v>
      </c>
      <c r="C143" s="99" t="s">
        <v>2342</v>
      </c>
    </row>
    <row r="144">
      <c r="A144" s="99" t="s">
        <v>2353</v>
      </c>
      <c r="B144" s="99">
        <v>7.770598E8</v>
      </c>
      <c r="C144" s="99" t="s">
        <v>2342</v>
      </c>
    </row>
    <row r="145">
      <c r="A145" s="99" t="s">
        <v>2354</v>
      </c>
      <c r="B145" s="99">
        <v>7.04500142E8</v>
      </c>
      <c r="C145" s="99" t="s">
        <v>2342</v>
      </c>
    </row>
    <row r="146">
      <c r="A146" s="99" t="s">
        <v>2355</v>
      </c>
      <c r="B146" s="99">
        <v>7.57734795E8</v>
      </c>
      <c r="C146" s="99" t="s">
        <v>2342</v>
      </c>
    </row>
    <row r="147">
      <c r="A147" s="99" t="s">
        <v>2356</v>
      </c>
      <c r="B147" s="99">
        <v>7.77686888E8</v>
      </c>
      <c r="C147" s="99" t="s">
        <v>2342</v>
      </c>
    </row>
    <row r="148">
      <c r="A148" s="99" t="s">
        <v>2357</v>
      </c>
      <c r="B148" s="99">
        <v>7.76862996E8</v>
      </c>
      <c r="C148" s="99" t="s">
        <v>2342</v>
      </c>
    </row>
    <row r="149">
      <c r="A149" s="99" t="s">
        <v>2358</v>
      </c>
      <c r="B149" s="99">
        <v>7.02631612E8</v>
      </c>
      <c r="C149" s="99" t="s">
        <v>2342</v>
      </c>
    </row>
    <row r="150">
      <c r="A150" s="99" t="s">
        <v>2359</v>
      </c>
      <c r="B150" s="99">
        <v>7.82201702E8</v>
      </c>
      <c r="C150" s="99" t="s">
        <v>2360</v>
      </c>
    </row>
    <row r="151">
      <c r="A151" s="99" t="s">
        <v>2361</v>
      </c>
      <c r="B151" s="99">
        <v>7.06915218E8</v>
      </c>
      <c r="C151" s="99" t="s">
        <v>2360</v>
      </c>
    </row>
    <row r="152">
      <c r="A152" s="99" t="s">
        <v>2362</v>
      </c>
      <c r="B152" s="99">
        <v>7.72908839E8</v>
      </c>
      <c r="C152" s="99" t="s">
        <v>2360</v>
      </c>
    </row>
    <row r="153">
      <c r="A153" s="99" t="s">
        <v>2363</v>
      </c>
      <c r="B153" s="99">
        <v>7.89916612E8</v>
      </c>
      <c r="C153" s="99" t="s">
        <v>2360</v>
      </c>
    </row>
    <row r="154">
      <c r="A154" s="99" t="s">
        <v>2364</v>
      </c>
      <c r="B154" s="99">
        <v>7.72788512E8</v>
      </c>
      <c r="C154" s="99" t="s">
        <v>2360</v>
      </c>
    </row>
    <row r="155">
      <c r="A155" s="99" t="s">
        <v>2365</v>
      </c>
      <c r="B155" s="99">
        <v>7.44320479E8</v>
      </c>
      <c r="C155" s="99" t="s">
        <v>2360</v>
      </c>
    </row>
    <row r="156">
      <c r="A156" s="99" t="s">
        <v>2366</v>
      </c>
      <c r="B156" s="99">
        <v>7.87886375E8</v>
      </c>
      <c r="C156" s="99" t="s">
        <v>2230</v>
      </c>
    </row>
    <row r="157">
      <c r="A157" s="99" t="s">
        <v>2367</v>
      </c>
      <c r="B157" s="99">
        <v>7.74364989E8</v>
      </c>
      <c r="C157" s="99" t="s">
        <v>2230</v>
      </c>
    </row>
    <row r="158">
      <c r="A158" s="99" t="s">
        <v>2368</v>
      </c>
      <c r="B158" s="99">
        <v>7.57595788E8</v>
      </c>
      <c r="C158" s="99" t="s">
        <v>2230</v>
      </c>
    </row>
    <row r="159">
      <c r="A159" s="99" t="s">
        <v>2369</v>
      </c>
      <c r="B159" s="99">
        <v>7.8235302E8</v>
      </c>
      <c r="C159" s="99" t="s">
        <v>2230</v>
      </c>
    </row>
    <row r="160">
      <c r="A160" s="99" t="s">
        <v>2370</v>
      </c>
      <c r="B160" s="99">
        <v>7.89670817E8</v>
      </c>
      <c r="C160" s="99" t="s">
        <v>2230</v>
      </c>
    </row>
    <row r="161">
      <c r="A161" s="99" t="s">
        <v>2371</v>
      </c>
      <c r="B161" s="99">
        <v>7.54177711E8</v>
      </c>
      <c r="C161" s="99" t="s">
        <v>2230</v>
      </c>
    </row>
    <row r="162">
      <c r="A162" s="99" t="s">
        <v>2372</v>
      </c>
      <c r="B162" s="99">
        <v>7.82230327E8</v>
      </c>
      <c r="C162" s="99" t="s">
        <v>2230</v>
      </c>
    </row>
    <row r="163">
      <c r="A163" s="99" t="s">
        <v>2373</v>
      </c>
      <c r="B163" s="99">
        <v>7.75351867E8</v>
      </c>
      <c r="C163" s="99" t="s">
        <v>2230</v>
      </c>
    </row>
    <row r="164">
      <c r="A164" s="99" t="s">
        <v>2374</v>
      </c>
      <c r="B164" s="99">
        <v>7.81631996E8</v>
      </c>
      <c r="C164" s="99" t="s">
        <v>2230</v>
      </c>
    </row>
    <row r="165">
      <c r="A165" s="99" t="s">
        <v>2375</v>
      </c>
      <c r="B165" s="99">
        <v>7.82794157E8</v>
      </c>
      <c r="C165" s="99" t="s">
        <v>2230</v>
      </c>
    </row>
    <row r="166">
      <c r="A166" s="99" t="s">
        <v>2376</v>
      </c>
      <c r="B166" s="99">
        <v>7.76613305E8</v>
      </c>
      <c r="C166" s="99" t="s">
        <v>2230</v>
      </c>
    </row>
    <row r="167">
      <c r="A167" s="99" t="s">
        <v>2377</v>
      </c>
      <c r="B167" s="99">
        <v>7.06081457E8</v>
      </c>
      <c r="C167" s="99" t="s">
        <v>2230</v>
      </c>
    </row>
    <row r="168">
      <c r="A168" s="99" t="s">
        <v>2378</v>
      </c>
      <c r="B168" s="99">
        <v>7.7240411E8</v>
      </c>
      <c r="C168" s="99" t="s">
        <v>2230</v>
      </c>
    </row>
    <row r="169">
      <c r="A169" s="99" t="s">
        <v>2379</v>
      </c>
      <c r="B169" s="99">
        <v>7.72140101E8</v>
      </c>
      <c r="C169" s="99" t="s">
        <v>2230</v>
      </c>
    </row>
    <row r="170">
      <c r="A170" s="99" t="s">
        <v>2380</v>
      </c>
      <c r="B170" s="99">
        <v>7.52933749E8</v>
      </c>
      <c r="C170" s="99" t="s">
        <v>2230</v>
      </c>
    </row>
    <row r="171">
      <c r="A171" s="99" t="s">
        <v>2381</v>
      </c>
      <c r="B171" s="99">
        <v>7.00675952E8</v>
      </c>
      <c r="C171" s="99" t="s">
        <v>2230</v>
      </c>
    </row>
    <row r="172">
      <c r="A172" s="99" t="s">
        <v>2382</v>
      </c>
      <c r="B172" s="99">
        <v>7.71330467E8</v>
      </c>
      <c r="C172" s="99" t="s">
        <v>2230</v>
      </c>
    </row>
    <row r="173">
      <c r="A173" s="99" t="s">
        <v>2383</v>
      </c>
      <c r="B173" s="99">
        <v>7.87886375E8</v>
      </c>
      <c r="C173" s="99" t="s">
        <v>2230</v>
      </c>
    </row>
    <row r="174">
      <c r="A174" s="99" t="s">
        <v>2384</v>
      </c>
      <c r="B174" s="99">
        <v>7.072711E8</v>
      </c>
      <c r="C174" s="99" t="s">
        <v>2230</v>
      </c>
    </row>
    <row r="175">
      <c r="A175" s="99" t="s">
        <v>2385</v>
      </c>
      <c r="B175" s="99">
        <v>7.72410579E8</v>
      </c>
      <c r="C175" s="99" t="s">
        <v>2230</v>
      </c>
    </row>
    <row r="176">
      <c r="A176" s="99" t="s">
        <v>2386</v>
      </c>
      <c r="B176" s="99">
        <v>7.52404016E8</v>
      </c>
      <c r="C176" s="99" t="s">
        <v>2387</v>
      </c>
    </row>
    <row r="177">
      <c r="A177" s="99" t="s">
        <v>2388</v>
      </c>
      <c r="B177" s="99">
        <v>7.78114709E8</v>
      </c>
      <c r="C177" s="99" t="s">
        <v>2387</v>
      </c>
    </row>
    <row r="178">
      <c r="A178" s="99" t="s">
        <v>2389</v>
      </c>
      <c r="B178" s="99">
        <v>7.72482306E8</v>
      </c>
      <c r="C178" s="99" t="s">
        <v>2387</v>
      </c>
    </row>
    <row r="179">
      <c r="A179" s="99" t="s">
        <v>2390</v>
      </c>
      <c r="B179" s="99">
        <v>7.72139153E8</v>
      </c>
      <c r="C179" s="99" t="s">
        <v>2387</v>
      </c>
    </row>
    <row r="180">
      <c r="A180" s="99" t="s">
        <v>2391</v>
      </c>
      <c r="B180" s="99">
        <v>7.78092221E8</v>
      </c>
      <c r="C180" s="99" t="s">
        <v>2387</v>
      </c>
    </row>
    <row r="181">
      <c r="A181" s="99" t="s">
        <v>2392</v>
      </c>
      <c r="B181" s="99">
        <v>7.74613199E8</v>
      </c>
      <c r="C181" s="99" t="s">
        <v>2387</v>
      </c>
    </row>
    <row r="182">
      <c r="A182" s="99" t="s">
        <v>2393</v>
      </c>
      <c r="B182" s="99">
        <v>7.01193224E8</v>
      </c>
      <c r="C182" s="99" t="s">
        <v>2387</v>
      </c>
    </row>
    <row r="183">
      <c r="A183" s="99" t="s">
        <v>2394</v>
      </c>
      <c r="B183" s="99">
        <v>7.52609602E8</v>
      </c>
      <c r="C183" s="99" t="s">
        <v>2387</v>
      </c>
    </row>
    <row r="184">
      <c r="A184" s="99" t="s">
        <v>2395</v>
      </c>
      <c r="B184" s="99">
        <v>7.8746296E8</v>
      </c>
      <c r="C184" s="99" t="s">
        <v>2387</v>
      </c>
    </row>
    <row r="185">
      <c r="A185" s="99" t="s">
        <v>2396</v>
      </c>
      <c r="B185" s="99">
        <v>7.76082421E8</v>
      </c>
      <c r="C185" s="99" t="s">
        <v>2387</v>
      </c>
    </row>
    <row r="186">
      <c r="A186" s="99" t="s">
        <v>2397</v>
      </c>
      <c r="B186" s="99">
        <v>7.88681919E8</v>
      </c>
      <c r="C186" s="99" t="s">
        <v>2387</v>
      </c>
    </row>
    <row r="187">
      <c r="A187" s="99" t="s">
        <v>2398</v>
      </c>
      <c r="B187" s="99">
        <v>7.52265855E8</v>
      </c>
      <c r="C187" s="99" t="s">
        <v>2387</v>
      </c>
    </row>
    <row r="188">
      <c r="A188" s="99" t="s">
        <v>2399</v>
      </c>
      <c r="B188" s="99">
        <v>7.81457704E8</v>
      </c>
      <c r="C188" s="99" t="s">
        <v>2387</v>
      </c>
    </row>
    <row r="189">
      <c r="A189" s="99" t="s">
        <v>2400</v>
      </c>
      <c r="B189" s="99">
        <v>7.04460318E8</v>
      </c>
      <c r="C189" s="99" t="s">
        <v>2387</v>
      </c>
    </row>
    <row r="190">
      <c r="A190" s="99" t="s">
        <v>2401</v>
      </c>
      <c r="B190" s="99">
        <v>7.81822253E8</v>
      </c>
      <c r="C190" s="99" t="s">
        <v>2387</v>
      </c>
    </row>
    <row r="191">
      <c r="A191" s="99" t="s">
        <v>2402</v>
      </c>
      <c r="B191" s="99">
        <v>7.72831133E8</v>
      </c>
      <c r="C191" s="99" t="s">
        <v>2387</v>
      </c>
    </row>
    <row r="192">
      <c r="A192" s="99" t="s">
        <v>2403</v>
      </c>
      <c r="B192" s="99">
        <v>7.7478778E8</v>
      </c>
      <c r="C192" s="99" t="s">
        <v>2387</v>
      </c>
    </row>
    <row r="193">
      <c r="A193" s="99" t="s">
        <v>2404</v>
      </c>
      <c r="B193" s="99">
        <v>7.83989819E8</v>
      </c>
      <c r="C193" s="99" t="s">
        <v>2387</v>
      </c>
    </row>
    <row r="194">
      <c r="A194" s="99" t="s">
        <v>2405</v>
      </c>
      <c r="B194" s="99">
        <v>7.077168E8</v>
      </c>
      <c r="C194" s="99" t="s">
        <v>2387</v>
      </c>
    </row>
    <row r="195">
      <c r="A195" s="99" t="s">
        <v>2406</v>
      </c>
      <c r="B195" s="99">
        <v>7.82410118E8</v>
      </c>
      <c r="C195" s="99" t="s">
        <v>2387</v>
      </c>
    </row>
    <row r="196">
      <c r="A196" s="99" t="s">
        <v>2407</v>
      </c>
      <c r="B196" s="99">
        <v>7.57600397E8</v>
      </c>
      <c r="C196" s="99" t="s">
        <v>2387</v>
      </c>
    </row>
    <row r="197">
      <c r="A197" s="99" t="s">
        <v>2408</v>
      </c>
      <c r="B197" s="99">
        <v>7.72718251E8</v>
      </c>
      <c r="C197" s="99" t="s">
        <v>2387</v>
      </c>
    </row>
    <row r="198">
      <c r="A198" s="99" t="s">
        <v>2409</v>
      </c>
      <c r="B198" s="99">
        <v>7.72922259E8</v>
      </c>
      <c r="C198" s="99" t="s">
        <v>2387</v>
      </c>
    </row>
    <row r="199">
      <c r="A199" s="99" t="s">
        <v>2410</v>
      </c>
      <c r="B199" s="99">
        <v>7.54445487E8</v>
      </c>
      <c r="C199" s="99" t="s">
        <v>2387</v>
      </c>
    </row>
    <row r="200">
      <c r="A200" s="99" t="s">
        <v>2411</v>
      </c>
      <c r="B200" s="99">
        <v>7.74610257E8</v>
      </c>
      <c r="C200" s="99" t="s">
        <v>2387</v>
      </c>
    </row>
    <row r="201">
      <c r="A201" s="99" t="s">
        <v>2412</v>
      </c>
      <c r="B201" s="99">
        <v>7.87372048E8</v>
      </c>
      <c r="C201" s="99" t="s">
        <v>2387</v>
      </c>
    </row>
    <row r="202">
      <c r="A202" s="99" t="s">
        <v>2413</v>
      </c>
      <c r="B202" s="99">
        <v>7.89456042E8</v>
      </c>
      <c r="C202" s="99" t="s">
        <v>2387</v>
      </c>
    </row>
    <row r="203">
      <c r="A203" s="99" t="s">
        <v>2414</v>
      </c>
      <c r="B203" s="99">
        <v>7.12729857E8</v>
      </c>
      <c r="C203" s="99" t="s">
        <v>2387</v>
      </c>
    </row>
    <row r="204">
      <c r="A204" s="99" t="s">
        <v>2415</v>
      </c>
      <c r="B204" s="99">
        <v>7.82313779E8</v>
      </c>
      <c r="C204" s="99" t="s">
        <v>2416</v>
      </c>
    </row>
    <row r="205">
      <c r="A205" s="99" t="s">
        <v>2417</v>
      </c>
      <c r="B205" s="99">
        <v>7.82681716E8</v>
      </c>
      <c r="C205" s="99" t="s">
        <v>2416</v>
      </c>
    </row>
    <row r="206">
      <c r="A206" s="99" t="s">
        <v>2418</v>
      </c>
      <c r="B206" s="99">
        <v>7.72424344E8</v>
      </c>
      <c r="C206" s="99" t="s">
        <v>2416</v>
      </c>
    </row>
    <row r="207">
      <c r="A207" s="99" t="s">
        <v>2419</v>
      </c>
      <c r="B207" s="99">
        <v>7.724903E8</v>
      </c>
      <c r="C207" s="99" t="s">
        <v>2416</v>
      </c>
    </row>
    <row r="208">
      <c r="A208" s="99" t="s">
        <v>2420</v>
      </c>
      <c r="B208" s="99">
        <v>7.81039968E8</v>
      </c>
      <c r="C208" s="99" t="s">
        <v>2416</v>
      </c>
    </row>
    <row r="209">
      <c r="A209" s="99" t="s">
        <v>2421</v>
      </c>
      <c r="B209" s="99">
        <v>7.87655575E8</v>
      </c>
      <c r="C209" s="99" t="s">
        <v>2416</v>
      </c>
    </row>
    <row r="210">
      <c r="A210" s="99" t="s">
        <v>2422</v>
      </c>
      <c r="B210" s="99">
        <v>7.52403973E8</v>
      </c>
      <c r="C210" s="99" t="s">
        <v>2416</v>
      </c>
    </row>
    <row r="211">
      <c r="A211" s="99" t="s">
        <v>2423</v>
      </c>
      <c r="B211" s="99">
        <v>7.80414153E8</v>
      </c>
      <c r="C211" s="99" t="s">
        <v>2416</v>
      </c>
    </row>
    <row r="212">
      <c r="A212" s="99" t="s">
        <v>2424</v>
      </c>
      <c r="B212" s="99">
        <v>7.54608654E8</v>
      </c>
      <c r="C212" s="99" t="s">
        <v>2416</v>
      </c>
    </row>
    <row r="213">
      <c r="A213" s="99" t="s">
        <v>2425</v>
      </c>
      <c r="B213" s="99">
        <v>7.00826396E8</v>
      </c>
      <c r="C213" s="99" t="s">
        <v>2416</v>
      </c>
    </row>
    <row r="214">
      <c r="A214" s="99" t="s">
        <v>2426</v>
      </c>
      <c r="B214" s="99">
        <v>7.05076643E8</v>
      </c>
      <c r="C214" s="99" t="s">
        <v>2416</v>
      </c>
    </row>
    <row r="215">
      <c r="A215" s="99" t="s">
        <v>2427</v>
      </c>
      <c r="B215" s="99">
        <v>7.76282705E8</v>
      </c>
      <c r="C215" s="99" t="s">
        <v>2416</v>
      </c>
    </row>
    <row r="216">
      <c r="A216" s="99" t="s">
        <v>2428</v>
      </c>
      <c r="B216" s="99">
        <v>7.02773317E8</v>
      </c>
      <c r="C216" s="99" t="s">
        <v>2416</v>
      </c>
    </row>
    <row r="217">
      <c r="A217" s="99" t="s">
        <v>2429</v>
      </c>
      <c r="B217" s="99">
        <v>7.0379404E8</v>
      </c>
      <c r="C217" s="99" t="s">
        <v>2416</v>
      </c>
    </row>
    <row r="218">
      <c r="A218" s="99" t="s">
        <v>2430</v>
      </c>
      <c r="B218" s="99">
        <v>7.83275634E8</v>
      </c>
      <c r="C218" s="99" t="s">
        <v>2416</v>
      </c>
    </row>
    <row r="219">
      <c r="A219" s="99" t="s">
        <v>2431</v>
      </c>
      <c r="B219" s="99">
        <v>7.05206368E8</v>
      </c>
      <c r="C219" s="99" t="s">
        <v>2416</v>
      </c>
    </row>
    <row r="220">
      <c r="A220" s="99" t="s">
        <v>2432</v>
      </c>
      <c r="B220" s="99">
        <v>7.03016384E8</v>
      </c>
      <c r="C220" s="99" t="s">
        <v>2416</v>
      </c>
    </row>
    <row r="221">
      <c r="A221" s="99" t="s">
        <v>2433</v>
      </c>
      <c r="B221" s="99">
        <v>7.83275634E8</v>
      </c>
      <c r="C221" s="99" t="s">
        <v>2416</v>
      </c>
    </row>
    <row r="222">
      <c r="A222" s="99" t="s">
        <v>2434</v>
      </c>
      <c r="B222" s="99">
        <v>7.72649226E8</v>
      </c>
      <c r="C222" s="99" t="s">
        <v>2435</v>
      </c>
    </row>
    <row r="223">
      <c r="A223" s="99" t="s">
        <v>2436</v>
      </c>
      <c r="B223" s="99">
        <v>7.53451345E8</v>
      </c>
      <c r="C223" s="99" t="s">
        <v>2435</v>
      </c>
    </row>
    <row r="224">
      <c r="A224" s="99" t="s">
        <v>2437</v>
      </c>
      <c r="B224" s="99">
        <v>7.89375758E8</v>
      </c>
      <c r="C224" s="99" t="s">
        <v>2435</v>
      </c>
    </row>
    <row r="225">
      <c r="A225" s="99" t="s">
        <v>2438</v>
      </c>
      <c r="B225" s="99">
        <v>7.72428955E8</v>
      </c>
      <c r="C225" s="99" t="s">
        <v>2435</v>
      </c>
    </row>
    <row r="226">
      <c r="A226" s="99" t="s">
        <v>2439</v>
      </c>
      <c r="B226" s="99">
        <v>7.7816127E8</v>
      </c>
      <c r="C226" s="99" t="s">
        <v>2435</v>
      </c>
    </row>
    <row r="227">
      <c r="A227" s="99" t="s">
        <v>2440</v>
      </c>
      <c r="B227" s="99">
        <v>7.04693689E8</v>
      </c>
      <c r="C227" s="99" t="s">
        <v>2435</v>
      </c>
    </row>
    <row r="228">
      <c r="A228" s="99" t="s">
        <v>2441</v>
      </c>
      <c r="B228" s="99">
        <v>7.52693689E8</v>
      </c>
      <c r="C228" s="99" t="s">
        <v>2435</v>
      </c>
    </row>
    <row r="229">
      <c r="A229" s="99" t="s">
        <v>2442</v>
      </c>
      <c r="B229" s="99">
        <v>7.73520637E8</v>
      </c>
      <c r="C229" s="99" t="s">
        <v>2435</v>
      </c>
    </row>
    <row r="230">
      <c r="A230" s="99" t="s">
        <v>2443</v>
      </c>
      <c r="B230" s="99">
        <v>7.90790757E8</v>
      </c>
      <c r="C230" s="99" t="s">
        <v>2435</v>
      </c>
    </row>
    <row r="231">
      <c r="A231" s="99" t="s">
        <v>2444</v>
      </c>
      <c r="B231" s="99">
        <v>7.04618904E8</v>
      </c>
      <c r="C231" s="99" t="s">
        <v>2445</v>
      </c>
    </row>
    <row r="232">
      <c r="A232" s="99" t="s">
        <v>2446</v>
      </c>
      <c r="B232" s="99">
        <v>7.58880953E8</v>
      </c>
      <c r="C232" s="99" t="s">
        <v>2445</v>
      </c>
    </row>
    <row r="233">
      <c r="A233" s="99" t="s">
        <v>2447</v>
      </c>
      <c r="B233" s="99">
        <v>7.72584132E8</v>
      </c>
      <c r="C233" s="99" t="s">
        <v>2445</v>
      </c>
    </row>
    <row r="234">
      <c r="A234" s="99" t="s">
        <v>2448</v>
      </c>
      <c r="B234" s="99">
        <v>7.03973984E8</v>
      </c>
      <c r="C234" s="99" t="s">
        <v>2435</v>
      </c>
    </row>
    <row r="235">
      <c r="A235" s="99" t="s">
        <v>2449</v>
      </c>
      <c r="B235" s="99">
        <v>7.04926505E8</v>
      </c>
      <c r="C235" s="99" t="s">
        <v>2445</v>
      </c>
    </row>
    <row r="236">
      <c r="A236" s="99" t="s">
        <v>2450</v>
      </c>
      <c r="B236" s="99">
        <v>7.7288686E8</v>
      </c>
      <c r="C236" s="99" t="s">
        <v>2435</v>
      </c>
    </row>
    <row r="237">
      <c r="A237" s="99" t="s">
        <v>2451</v>
      </c>
      <c r="B237" s="99">
        <v>7.85459912E8</v>
      </c>
      <c r="C237" s="99" t="s">
        <v>2435</v>
      </c>
    </row>
    <row r="238">
      <c r="A238" s="99" t="s">
        <v>2452</v>
      </c>
      <c r="B238" s="99">
        <v>7.72688921E8</v>
      </c>
      <c r="C238" s="99" t="s">
        <v>2445</v>
      </c>
    </row>
    <row r="239">
      <c r="A239" s="99" t="s">
        <v>2453</v>
      </c>
      <c r="B239" s="99">
        <v>7.72576804E8</v>
      </c>
      <c r="C239" s="99" t="s">
        <v>2445</v>
      </c>
    </row>
    <row r="240">
      <c r="A240" s="99" t="s">
        <v>2454</v>
      </c>
      <c r="B240" s="99">
        <v>7.795507E8</v>
      </c>
      <c r="C240" s="99" t="s">
        <v>2445</v>
      </c>
    </row>
    <row r="241">
      <c r="A241" s="99" t="s">
        <v>2455</v>
      </c>
      <c r="B241" s="99">
        <v>7.82739319E8</v>
      </c>
      <c r="C241" s="99" t="s">
        <v>2445</v>
      </c>
    </row>
    <row r="242">
      <c r="A242" s="99" t="s">
        <v>2456</v>
      </c>
      <c r="B242" s="99">
        <v>7.72151162E8</v>
      </c>
      <c r="C242" s="99" t="s">
        <v>2445</v>
      </c>
    </row>
    <row r="243">
      <c r="A243" s="99" t="s">
        <v>2457</v>
      </c>
      <c r="B243" s="99">
        <v>7.71645875E8</v>
      </c>
      <c r="C243" s="99" t="s">
        <v>2445</v>
      </c>
    </row>
    <row r="244">
      <c r="A244" s="99" t="s">
        <v>2458</v>
      </c>
      <c r="B244" s="99">
        <v>7.7949424E8</v>
      </c>
      <c r="C244" s="99" t="s">
        <v>2445</v>
      </c>
    </row>
    <row r="245">
      <c r="A245" s="99" t="s">
        <v>2459</v>
      </c>
      <c r="B245" s="99">
        <v>7.88060607E8</v>
      </c>
      <c r="C245" s="99" t="s">
        <v>2460</v>
      </c>
    </row>
    <row r="246">
      <c r="A246" s="99" t="s">
        <v>2461</v>
      </c>
      <c r="B246" s="99">
        <v>7.06502415E8</v>
      </c>
      <c r="C246" s="99" t="s">
        <v>2460</v>
      </c>
    </row>
    <row r="247">
      <c r="A247" s="99" t="s">
        <v>2462</v>
      </c>
      <c r="B247" s="99">
        <v>7.04972958E8</v>
      </c>
      <c r="C247" s="99" t="s">
        <v>2460</v>
      </c>
    </row>
    <row r="248">
      <c r="A248" s="99" t="s">
        <v>2463</v>
      </c>
      <c r="B248" s="99">
        <v>7.72200711E8</v>
      </c>
      <c r="C248" s="99" t="s">
        <v>2464</v>
      </c>
    </row>
    <row r="249">
      <c r="A249" s="99" t="s">
        <v>2465</v>
      </c>
      <c r="B249" s="99">
        <v>7.74777493E8</v>
      </c>
      <c r="C249" s="99" t="s">
        <v>2460</v>
      </c>
    </row>
    <row r="250">
      <c r="A250" s="99" t="s">
        <v>2466</v>
      </c>
      <c r="B250" s="99">
        <v>7.75979221E8</v>
      </c>
      <c r="C250" s="99" t="s">
        <v>2460</v>
      </c>
    </row>
    <row r="251">
      <c r="A251" s="99" t="s">
        <v>2467</v>
      </c>
      <c r="B251" s="99">
        <v>7.70654996E8</v>
      </c>
      <c r="C251" s="99" t="s">
        <v>2460</v>
      </c>
    </row>
    <row r="252">
      <c r="A252" s="99" t="s">
        <v>2468</v>
      </c>
      <c r="B252" s="99">
        <v>7.06743009E8</v>
      </c>
      <c r="C252" s="99" t="s">
        <v>2460</v>
      </c>
    </row>
    <row r="253">
      <c r="A253" s="99" t="s">
        <v>2469</v>
      </c>
      <c r="B253" s="99">
        <v>7.72467342E8</v>
      </c>
      <c r="C253" s="99" t="s">
        <v>2460</v>
      </c>
    </row>
    <row r="254">
      <c r="A254" s="99" t="s">
        <v>2470</v>
      </c>
      <c r="B254" s="99">
        <v>7.04803546E8</v>
      </c>
      <c r="C254" s="99" t="s">
        <v>2460</v>
      </c>
    </row>
    <row r="255">
      <c r="A255" s="99" t="s">
        <v>2471</v>
      </c>
      <c r="B255" s="99">
        <v>7.04500142E8</v>
      </c>
      <c r="C255" s="99" t="s">
        <v>2460</v>
      </c>
    </row>
    <row r="256">
      <c r="A256" s="99" t="s">
        <v>2472</v>
      </c>
      <c r="B256" s="99">
        <v>7.84788462E8</v>
      </c>
      <c r="C256" s="99" t="s">
        <v>2460</v>
      </c>
    </row>
    <row r="257">
      <c r="A257" s="99" t="s">
        <v>2473</v>
      </c>
      <c r="B257" s="99">
        <v>7.85887528E8</v>
      </c>
      <c r="C257" s="99" t="s">
        <v>2460</v>
      </c>
    </row>
    <row r="258">
      <c r="A258" s="99" t="s">
        <v>2474</v>
      </c>
      <c r="B258" s="99">
        <v>7.03675638E8</v>
      </c>
      <c r="C258" s="99" t="s">
        <v>2460</v>
      </c>
    </row>
    <row r="259">
      <c r="A259" s="99" t="s">
        <v>2475</v>
      </c>
      <c r="B259" s="99">
        <v>7.52617091E8</v>
      </c>
      <c r="C259" s="99" t="s">
        <v>2460</v>
      </c>
    </row>
    <row r="260">
      <c r="A260" s="99" t="s">
        <v>2476</v>
      </c>
      <c r="B260" s="99">
        <v>7.72852565E8</v>
      </c>
      <c r="C260" s="99" t="s">
        <v>2460</v>
      </c>
    </row>
    <row r="261">
      <c r="A261" s="99" t="s">
        <v>2477</v>
      </c>
      <c r="B261" s="99">
        <v>7.73391718E8</v>
      </c>
      <c r="C261" s="99" t="s">
        <v>2460</v>
      </c>
    </row>
    <row r="262">
      <c r="A262" s="99" t="s">
        <v>2478</v>
      </c>
      <c r="B262" s="99">
        <v>7.7240931E8</v>
      </c>
      <c r="C262" s="99" t="s">
        <v>2460</v>
      </c>
    </row>
    <row r="263">
      <c r="A263" s="99" t="s">
        <v>2479</v>
      </c>
      <c r="B263" s="99">
        <v>7.00290448E8</v>
      </c>
      <c r="C263" s="99" t="s">
        <v>2460</v>
      </c>
    </row>
    <row r="264">
      <c r="A264" s="99" t="s">
        <v>2480</v>
      </c>
      <c r="B264" s="99">
        <v>7.83550722E8</v>
      </c>
      <c r="C264" s="99" t="s">
        <v>2460</v>
      </c>
    </row>
    <row r="265">
      <c r="A265" s="99" t="s">
        <v>2481</v>
      </c>
      <c r="B265" s="99">
        <v>7.52799605E8</v>
      </c>
      <c r="C265" s="99" t="s">
        <v>2460</v>
      </c>
    </row>
    <row r="266">
      <c r="A266" s="99" t="s">
        <v>2482</v>
      </c>
      <c r="B266" s="99">
        <v>7.53501741E8</v>
      </c>
      <c r="C266" s="99" t="s">
        <v>2460</v>
      </c>
    </row>
    <row r="267">
      <c r="A267" s="99" t="s">
        <v>2483</v>
      </c>
      <c r="B267" s="99">
        <v>7.83564859E8</v>
      </c>
      <c r="C267" s="99" t="s">
        <v>2460</v>
      </c>
    </row>
    <row r="268">
      <c r="A268" s="99" t="s">
        <v>2484</v>
      </c>
      <c r="B268" s="99">
        <v>7.83392509E8</v>
      </c>
      <c r="C268" s="99" t="s">
        <v>2460</v>
      </c>
    </row>
    <row r="269">
      <c r="A269" s="99" t="s">
        <v>2485</v>
      </c>
      <c r="B269" s="99">
        <v>7.01390621E8</v>
      </c>
      <c r="C269" s="99" t="s">
        <v>2486</v>
      </c>
    </row>
    <row r="270">
      <c r="A270" s="99" t="s">
        <v>2487</v>
      </c>
      <c r="B270" s="99">
        <v>7.72401789E8</v>
      </c>
      <c r="C270" s="99" t="s">
        <v>2488</v>
      </c>
    </row>
    <row r="271">
      <c r="A271" s="99" t="s">
        <v>2489</v>
      </c>
      <c r="B271" s="99">
        <v>7.72886944E8</v>
      </c>
      <c r="C271" s="99" t="s">
        <v>2488</v>
      </c>
    </row>
    <row r="272">
      <c r="A272" s="99" t="s">
        <v>2490</v>
      </c>
      <c r="B272" s="99">
        <v>7.82366172E8</v>
      </c>
      <c r="C272" s="99" t="s">
        <v>2488</v>
      </c>
    </row>
    <row r="273">
      <c r="A273" s="99" t="s">
        <v>2491</v>
      </c>
      <c r="B273" s="99">
        <v>7.79922929E8</v>
      </c>
      <c r="C273" s="99" t="s">
        <v>2488</v>
      </c>
    </row>
    <row r="274">
      <c r="A274" s="99" t="s">
        <v>2492</v>
      </c>
      <c r="B274" s="99">
        <v>7.77261099E8</v>
      </c>
      <c r="C274" s="99" t="s">
        <v>2488</v>
      </c>
    </row>
    <row r="275">
      <c r="A275" s="99" t="s">
        <v>2493</v>
      </c>
      <c r="B275" s="99">
        <v>7.56897814E8</v>
      </c>
      <c r="C275" s="99" t="s">
        <v>2488</v>
      </c>
    </row>
    <row r="276">
      <c r="A276" s="99" t="s">
        <v>2494</v>
      </c>
      <c r="B276" s="99">
        <v>7.56897823E8</v>
      </c>
      <c r="C276" s="99" t="s">
        <v>2488</v>
      </c>
    </row>
    <row r="277">
      <c r="A277" s="99" t="s">
        <v>2495</v>
      </c>
      <c r="B277" s="99">
        <v>7.00325519E8</v>
      </c>
      <c r="C277" s="99" t="s">
        <v>2488</v>
      </c>
    </row>
    <row r="278">
      <c r="A278" s="99" t="s">
        <v>2496</v>
      </c>
      <c r="B278" s="99">
        <v>7.83262205E8</v>
      </c>
      <c r="C278" s="99" t="s">
        <v>2488</v>
      </c>
    </row>
    <row r="279">
      <c r="A279" s="99" t="s">
        <v>2497</v>
      </c>
      <c r="B279" s="99">
        <v>7.72754E8</v>
      </c>
      <c r="C279" s="99" t="s">
        <v>2488</v>
      </c>
    </row>
    <row r="280">
      <c r="A280" s="99" t="s">
        <v>2498</v>
      </c>
      <c r="B280" s="99">
        <v>7.82587046E8</v>
      </c>
      <c r="C280" s="99" t="s">
        <v>2488</v>
      </c>
    </row>
    <row r="281">
      <c r="A281" s="99" t="s">
        <v>2499</v>
      </c>
      <c r="B281" s="99">
        <v>7.02004324E8</v>
      </c>
      <c r="C281" s="99" t="s">
        <v>2488</v>
      </c>
    </row>
    <row r="282">
      <c r="A282" s="99" t="s">
        <v>2500</v>
      </c>
      <c r="B282" s="99">
        <v>7.72500629E8</v>
      </c>
      <c r="C282" s="99" t="s">
        <v>2488</v>
      </c>
    </row>
    <row r="283">
      <c r="A283" s="99" t="s">
        <v>2501</v>
      </c>
      <c r="B283" s="99">
        <v>7.77406523E8</v>
      </c>
      <c r="C283" s="99" t="s">
        <v>2488</v>
      </c>
    </row>
    <row r="284">
      <c r="A284" s="99" t="s">
        <v>2502</v>
      </c>
      <c r="B284" s="99">
        <v>7.53518491E8</v>
      </c>
      <c r="C284" s="99" t="s">
        <v>2488</v>
      </c>
    </row>
    <row r="285">
      <c r="A285" s="99" t="s">
        <v>2503</v>
      </c>
      <c r="B285" s="99">
        <v>7.73585138E8</v>
      </c>
      <c r="C285" s="99" t="s">
        <v>2488</v>
      </c>
    </row>
    <row r="286">
      <c r="A286" s="99" t="s">
        <v>2504</v>
      </c>
      <c r="B286" s="99">
        <v>7.73585126E8</v>
      </c>
      <c r="C286" s="99" t="s">
        <v>2488</v>
      </c>
    </row>
    <row r="287">
      <c r="A287" s="99" t="s">
        <v>2505</v>
      </c>
      <c r="B287" s="99">
        <v>7.84266685E8</v>
      </c>
      <c r="C287" s="99" t="s">
        <v>2488</v>
      </c>
    </row>
    <row r="288">
      <c r="A288" s="99" t="s">
        <v>2506</v>
      </c>
      <c r="B288" s="99">
        <v>7.78433742E8</v>
      </c>
      <c r="C288" s="99" t="s">
        <v>2488</v>
      </c>
    </row>
    <row r="289">
      <c r="A289" s="99" t="s">
        <v>2507</v>
      </c>
      <c r="B289" s="99">
        <v>7.00852373E8</v>
      </c>
      <c r="C289" s="99" t="s">
        <v>2488</v>
      </c>
    </row>
    <row r="290">
      <c r="A290" s="99" t="s">
        <v>2508</v>
      </c>
      <c r="B290" s="99">
        <v>7.73212858E8</v>
      </c>
      <c r="C290" s="99" t="s">
        <v>2486</v>
      </c>
    </row>
    <row r="291">
      <c r="A291" s="99" t="s">
        <v>2509</v>
      </c>
      <c r="B291" s="99">
        <v>7.01498442E8</v>
      </c>
      <c r="C291" s="99" t="s">
        <v>2486</v>
      </c>
    </row>
    <row r="292">
      <c r="A292" s="99" t="s">
        <v>2510</v>
      </c>
      <c r="B292" s="99">
        <v>7.06683387E8</v>
      </c>
      <c r="C292" s="99" t="s">
        <v>2486</v>
      </c>
    </row>
    <row r="293">
      <c r="A293" s="99" t="s">
        <v>2511</v>
      </c>
      <c r="B293" s="99">
        <v>7.79042041E8</v>
      </c>
      <c r="C293" s="99" t="s">
        <v>2486</v>
      </c>
    </row>
    <row r="294">
      <c r="A294" s="99" t="s">
        <v>2512</v>
      </c>
      <c r="B294" s="99">
        <v>7.7535121E8</v>
      </c>
      <c r="C294" s="99" t="s">
        <v>2486</v>
      </c>
    </row>
    <row r="295">
      <c r="A295" s="99" t="s">
        <v>2513</v>
      </c>
      <c r="B295" s="99">
        <v>7.51545598E8</v>
      </c>
      <c r="C295" s="99" t="s">
        <v>2486</v>
      </c>
    </row>
    <row r="296">
      <c r="A296" s="99" t="s">
        <v>2514</v>
      </c>
      <c r="B296" s="99">
        <v>7.01463877E8</v>
      </c>
      <c r="C296" s="99" t="s">
        <v>2486</v>
      </c>
    </row>
    <row r="297">
      <c r="A297" s="99" t="s">
        <v>2515</v>
      </c>
      <c r="B297" s="99">
        <v>7.03840579E8</v>
      </c>
      <c r="C297" s="99" t="s">
        <v>2486</v>
      </c>
    </row>
    <row r="298">
      <c r="A298" s="99" t="s">
        <v>2516</v>
      </c>
      <c r="B298" s="99">
        <v>7.52602425E8</v>
      </c>
      <c r="C298" s="99" t="s">
        <v>2486</v>
      </c>
    </row>
    <row r="299">
      <c r="A299" s="99" t="s">
        <v>2517</v>
      </c>
      <c r="B299" s="99">
        <v>7.0272479E8</v>
      </c>
      <c r="C299" s="99" t="s">
        <v>2486</v>
      </c>
    </row>
    <row r="300">
      <c r="A300" s="99" t="s">
        <v>2518</v>
      </c>
      <c r="B300" s="99">
        <v>7.52359514E8</v>
      </c>
      <c r="C300" s="99" t="s">
        <v>2486</v>
      </c>
    </row>
    <row r="301">
      <c r="A301" s="99" t="s">
        <v>2519</v>
      </c>
      <c r="B301" s="99">
        <v>7.76690915E8</v>
      </c>
      <c r="C301" s="99" t="s">
        <v>2486</v>
      </c>
    </row>
    <row r="302">
      <c r="A302" s="99" t="s">
        <v>2520</v>
      </c>
      <c r="B302" s="99">
        <v>7.81594563E8</v>
      </c>
      <c r="C302" s="99" t="s">
        <v>2486</v>
      </c>
    </row>
    <row r="303">
      <c r="A303" s="99" t="s">
        <v>2521</v>
      </c>
      <c r="B303" s="99">
        <v>7.89186111E8</v>
      </c>
      <c r="C303" s="99" t="s">
        <v>2486</v>
      </c>
    </row>
    <row r="304">
      <c r="A304" s="99" t="s">
        <v>2522</v>
      </c>
      <c r="B304" s="99">
        <v>7.81431424E8</v>
      </c>
      <c r="C304" s="99" t="s">
        <v>2486</v>
      </c>
    </row>
    <row r="305">
      <c r="A305" s="99" t="s">
        <v>2523</v>
      </c>
      <c r="B305" s="99">
        <v>7.74543656E8</v>
      </c>
      <c r="C305" s="99" t="s">
        <v>2486</v>
      </c>
    </row>
    <row r="306">
      <c r="A306" s="99" t="s">
        <v>2524</v>
      </c>
      <c r="B306" s="99">
        <v>7.82954293E8</v>
      </c>
      <c r="C306" s="99" t="s">
        <v>2486</v>
      </c>
    </row>
    <row r="307">
      <c r="A307" s="99" t="s">
        <v>2525</v>
      </c>
      <c r="B307" s="99">
        <v>7.02286559E8</v>
      </c>
      <c r="C307" s="99" t="s">
        <v>2486</v>
      </c>
    </row>
    <row r="308">
      <c r="A308" s="99" t="s">
        <v>2526</v>
      </c>
      <c r="B308" s="99">
        <v>7.01442608E8</v>
      </c>
      <c r="C308" s="99" t="s">
        <v>2488</v>
      </c>
    </row>
    <row r="309">
      <c r="A309" s="99" t="s">
        <v>2527</v>
      </c>
      <c r="B309" s="99">
        <v>7.79728328E8</v>
      </c>
      <c r="C309" s="99" t="s">
        <v>2488</v>
      </c>
    </row>
    <row r="310">
      <c r="A310" s="99" t="s">
        <v>2528</v>
      </c>
      <c r="B310" s="99">
        <v>7.74255112E8</v>
      </c>
      <c r="C310" s="99" t="s">
        <v>2248</v>
      </c>
    </row>
    <row r="311">
      <c r="A311" s="99" t="s">
        <v>2529</v>
      </c>
      <c r="B311" s="99">
        <v>7.75817921E8</v>
      </c>
      <c r="C311" s="99" t="s">
        <v>2530</v>
      </c>
    </row>
    <row r="312">
      <c r="A312" s="99" t="s">
        <v>2531</v>
      </c>
      <c r="B312" s="99">
        <v>7.82838841E8</v>
      </c>
      <c r="C312" s="99" t="s">
        <v>2530</v>
      </c>
    </row>
    <row r="313">
      <c r="A313" s="99" t="s">
        <v>2532</v>
      </c>
      <c r="B313" s="99">
        <v>7.88997721E8</v>
      </c>
      <c r="C313" s="99" t="s">
        <v>2530</v>
      </c>
    </row>
    <row r="314">
      <c r="A314" s="99" t="s">
        <v>2533</v>
      </c>
      <c r="B314" s="99">
        <v>7.57044949E8</v>
      </c>
      <c r="C314" s="99" t="s">
        <v>2530</v>
      </c>
    </row>
    <row r="315">
      <c r="A315" s="99" t="s">
        <v>2534</v>
      </c>
      <c r="B315" s="99">
        <v>7.55073781E8</v>
      </c>
      <c r="C315" s="99" t="s">
        <v>2530</v>
      </c>
    </row>
    <row r="316">
      <c r="A316" s="99" t="s">
        <v>2535</v>
      </c>
      <c r="B316" s="99">
        <v>7.02427861E8</v>
      </c>
      <c r="C316" s="99" t="s">
        <v>2530</v>
      </c>
    </row>
    <row r="317">
      <c r="A317" s="99" t="s">
        <v>2536</v>
      </c>
      <c r="B317" s="99">
        <v>7.82705787E8</v>
      </c>
      <c r="C317" s="99" t="s">
        <v>2530</v>
      </c>
    </row>
    <row r="318">
      <c r="A318" s="99" t="s">
        <v>2537</v>
      </c>
      <c r="B318" s="99">
        <v>7.72520966E8</v>
      </c>
      <c r="C318" s="99" t="s">
        <v>2530</v>
      </c>
    </row>
    <row r="319">
      <c r="A319" s="99" t="s">
        <v>2538</v>
      </c>
      <c r="B319" s="99">
        <v>7.72525491E8</v>
      </c>
      <c r="C319" s="99" t="s">
        <v>2530</v>
      </c>
    </row>
    <row r="320">
      <c r="A320" s="99" t="s">
        <v>2204</v>
      </c>
      <c r="B320" s="99">
        <v>7.53186726E8</v>
      </c>
      <c r="C320" s="99" t="s">
        <v>2205</v>
      </c>
    </row>
    <row r="321">
      <c r="A321" s="99" t="s">
        <v>2539</v>
      </c>
      <c r="B321" s="99">
        <v>7.86151037E8</v>
      </c>
      <c r="C321" s="99" t="s">
        <v>2530</v>
      </c>
    </row>
    <row r="322">
      <c r="A322" s="99" t="s">
        <v>2540</v>
      </c>
      <c r="B322" s="99">
        <v>7.72355471E8</v>
      </c>
      <c r="C322" s="99" t="s">
        <v>2530</v>
      </c>
    </row>
    <row r="323">
      <c r="A323" s="99" t="s">
        <v>2541</v>
      </c>
      <c r="B323" s="99">
        <v>7.72353417E8</v>
      </c>
      <c r="C323" s="99" t="s">
        <v>2530</v>
      </c>
    </row>
    <row r="324">
      <c r="A324" s="99" t="s">
        <v>2542</v>
      </c>
      <c r="B324" s="99">
        <v>7.72355471E8</v>
      </c>
      <c r="C324" s="99" t="s">
        <v>2530</v>
      </c>
    </row>
    <row r="325">
      <c r="A325" s="99" t="s">
        <v>2543</v>
      </c>
      <c r="B325" s="99">
        <v>7.72911138E8</v>
      </c>
      <c r="C325" s="99" t="s">
        <v>2530</v>
      </c>
    </row>
    <row r="326">
      <c r="A326" s="99" t="s">
        <v>2544</v>
      </c>
      <c r="B326" s="99">
        <v>7.72496865E8</v>
      </c>
      <c r="C326" s="99" t="s">
        <v>2530</v>
      </c>
    </row>
    <row r="327">
      <c r="A327" s="99" t="s">
        <v>2545</v>
      </c>
      <c r="B327" s="99">
        <v>7.72911373E8</v>
      </c>
      <c r="C327" s="99" t="s">
        <v>2530</v>
      </c>
    </row>
    <row r="328">
      <c r="A328" s="99" t="s">
        <v>2206</v>
      </c>
      <c r="B328" s="99">
        <v>7.00885126E8</v>
      </c>
      <c r="C328" s="99" t="s">
        <v>2205</v>
      </c>
    </row>
    <row r="329">
      <c r="A329" s="99" t="s">
        <v>2546</v>
      </c>
      <c r="B329" s="99">
        <v>7.55928529E8</v>
      </c>
      <c r="C329" s="99" t="s">
        <v>2530</v>
      </c>
    </row>
    <row r="330">
      <c r="A330" s="99" t="s">
        <v>2547</v>
      </c>
      <c r="B330" s="99">
        <v>7.82593505E8</v>
      </c>
      <c r="C330" s="99" t="s">
        <v>2530</v>
      </c>
    </row>
    <row r="331">
      <c r="A331" s="99" t="s">
        <v>2548</v>
      </c>
      <c r="B331" s="99">
        <v>7.77050882E8</v>
      </c>
      <c r="C331" s="99" t="s">
        <v>2530</v>
      </c>
    </row>
    <row r="332">
      <c r="A332" s="99" t="s">
        <v>2549</v>
      </c>
      <c r="B332" s="99">
        <v>7.77692553E8</v>
      </c>
      <c r="C332" s="99" t="s">
        <v>2530</v>
      </c>
    </row>
    <row r="333">
      <c r="A333" s="99" t="s">
        <v>2207</v>
      </c>
      <c r="B333" s="99">
        <v>7.83683068E8</v>
      </c>
      <c r="C333" s="99" t="s">
        <v>2205</v>
      </c>
    </row>
    <row r="334">
      <c r="A334" s="99" t="s">
        <v>2208</v>
      </c>
      <c r="B334" s="99">
        <v>7.772503E8</v>
      </c>
      <c r="C334" s="99" t="s">
        <v>2205</v>
      </c>
    </row>
    <row r="335">
      <c r="A335" s="99" t="s">
        <v>2550</v>
      </c>
      <c r="B335" s="99">
        <v>7.72618497E8</v>
      </c>
      <c r="C335" s="99" t="s">
        <v>2205</v>
      </c>
    </row>
    <row r="336">
      <c r="A336" s="99" t="s">
        <v>2551</v>
      </c>
      <c r="B336" s="99">
        <v>7.72413066E8</v>
      </c>
      <c r="C336" s="99" t="s">
        <v>2205</v>
      </c>
    </row>
    <row r="337">
      <c r="A337" s="99" t="s">
        <v>2211</v>
      </c>
      <c r="B337" s="99">
        <v>7.72501509E8</v>
      </c>
      <c r="C337" s="99" t="s">
        <v>2205</v>
      </c>
    </row>
    <row r="338">
      <c r="A338" s="99" t="s">
        <v>2552</v>
      </c>
      <c r="B338" s="99">
        <v>7.78280847E8</v>
      </c>
      <c r="C338" s="99" t="s">
        <v>2205</v>
      </c>
    </row>
    <row r="339">
      <c r="A339" s="99" t="s">
        <v>2213</v>
      </c>
      <c r="B339" s="99">
        <v>7.72432888E8</v>
      </c>
      <c r="C339" s="99" t="s">
        <v>2553</v>
      </c>
    </row>
    <row r="340">
      <c r="A340" s="99" t="s">
        <v>2554</v>
      </c>
      <c r="B340" s="99">
        <v>7.82658908E8</v>
      </c>
      <c r="C340" s="99" t="s">
        <v>2553</v>
      </c>
    </row>
    <row r="341">
      <c r="A341" s="99" t="s">
        <v>2215</v>
      </c>
      <c r="B341" s="99">
        <v>7.75571273E8</v>
      </c>
      <c r="C341" s="99" t="s">
        <v>2553</v>
      </c>
    </row>
    <row r="342">
      <c r="A342" s="99" t="s">
        <v>2555</v>
      </c>
      <c r="B342" s="99">
        <v>7.75627743E8</v>
      </c>
      <c r="C342" s="99" t="s">
        <v>2553</v>
      </c>
    </row>
    <row r="343">
      <c r="A343" s="99" t="s">
        <v>2217</v>
      </c>
      <c r="B343" s="99">
        <v>7.03100123E8</v>
      </c>
      <c r="C343" s="99" t="s">
        <v>2553</v>
      </c>
    </row>
    <row r="344">
      <c r="A344" s="99" t="s">
        <v>2218</v>
      </c>
      <c r="B344" s="99">
        <v>7.73139574E8</v>
      </c>
      <c r="C344" s="99" t="s">
        <v>2553</v>
      </c>
    </row>
    <row r="345">
      <c r="A345" s="99" t="s">
        <v>2556</v>
      </c>
      <c r="B345" s="99">
        <v>7.78340538E8</v>
      </c>
      <c r="C345" s="99" t="s">
        <v>2553</v>
      </c>
    </row>
    <row r="346">
      <c r="A346" s="99" t="s">
        <v>2557</v>
      </c>
      <c r="B346" s="99">
        <v>7.8440619E8</v>
      </c>
      <c r="C346" s="99" t="s">
        <v>2553</v>
      </c>
    </row>
    <row r="347">
      <c r="A347" s="99" t="s">
        <v>2558</v>
      </c>
      <c r="B347" s="99">
        <v>7.78441716E8</v>
      </c>
      <c r="C347" s="99" t="s">
        <v>2553</v>
      </c>
    </row>
    <row r="348">
      <c r="A348" s="99" t="s">
        <v>2222</v>
      </c>
      <c r="B348" s="99">
        <v>7.746161E8</v>
      </c>
      <c r="C348" s="99" t="s">
        <v>2553</v>
      </c>
    </row>
    <row r="349">
      <c r="A349" s="99" t="s">
        <v>2559</v>
      </c>
      <c r="B349" s="99">
        <v>7.0562602E8</v>
      </c>
      <c r="C349" s="99" t="s">
        <v>2553</v>
      </c>
    </row>
    <row r="350">
      <c r="A350" s="99" t="s">
        <v>2560</v>
      </c>
      <c r="B350" s="99">
        <v>7.78544423E8</v>
      </c>
      <c r="C350" s="99" t="s">
        <v>2553</v>
      </c>
    </row>
    <row r="351">
      <c r="A351" s="99" t="s">
        <v>2561</v>
      </c>
      <c r="B351" s="99">
        <v>7.78528806E8</v>
      </c>
      <c r="C351" s="99" t="s">
        <v>2553</v>
      </c>
    </row>
    <row r="352">
      <c r="A352" s="99" t="s">
        <v>2226</v>
      </c>
      <c r="B352" s="99">
        <v>7.75099511E8</v>
      </c>
      <c r="C352" s="99" t="s">
        <v>2553</v>
      </c>
    </row>
    <row r="353">
      <c r="A353" s="99" t="s">
        <v>2562</v>
      </c>
      <c r="B353" s="99">
        <v>7.00100632E8</v>
      </c>
      <c r="C353" s="99" t="s">
        <v>2563</v>
      </c>
    </row>
    <row r="354">
      <c r="A354" s="99" t="s">
        <v>2564</v>
      </c>
      <c r="B354" s="99">
        <v>7.72961259E8</v>
      </c>
      <c r="C354" s="99" t="s">
        <v>2553</v>
      </c>
    </row>
    <row r="355">
      <c r="A355" s="99" t="s">
        <v>2565</v>
      </c>
      <c r="B355" s="99">
        <v>7.85298001E8</v>
      </c>
      <c r="C355" s="99" t="s">
        <v>2553</v>
      </c>
    </row>
    <row r="356">
      <c r="A356" s="99" t="s">
        <v>2566</v>
      </c>
      <c r="B356" s="99">
        <v>7.01804898E8</v>
      </c>
      <c r="C356" s="99" t="s">
        <v>2563</v>
      </c>
    </row>
    <row r="357">
      <c r="A357" s="99" t="s">
        <v>2567</v>
      </c>
      <c r="B357" s="99">
        <v>7.00172592E8</v>
      </c>
      <c r="C357" s="99" t="s">
        <v>2563</v>
      </c>
    </row>
    <row r="358">
      <c r="A358" s="99" t="s">
        <v>2568</v>
      </c>
      <c r="B358" s="99">
        <v>7.81952619E8</v>
      </c>
      <c r="C358" s="99" t="s">
        <v>2563</v>
      </c>
    </row>
    <row r="359">
      <c r="A359" s="99" t="s">
        <v>2569</v>
      </c>
      <c r="B359" s="99">
        <v>7.72572831E8</v>
      </c>
      <c r="C359" s="99" t="s">
        <v>2563</v>
      </c>
    </row>
    <row r="360">
      <c r="A360" s="99" t="s">
        <v>2570</v>
      </c>
      <c r="B360" s="99">
        <v>7.72399203E8</v>
      </c>
      <c r="C360" s="99" t="s">
        <v>2563</v>
      </c>
    </row>
    <row r="361">
      <c r="A361" s="99" t="s">
        <v>2571</v>
      </c>
      <c r="B361" s="99">
        <v>7.89322234E8</v>
      </c>
      <c r="C361" s="99" t="s">
        <v>2563</v>
      </c>
    </row>
    <row r="362">
      <c r="A362" s="99" t="s">
        <v>2572</v>
      </c>
      <c r="B362" s="99">
        <v>7.71062146E8</v>
      </c>
      <c r="C362" s="99" t="s">
        <v>2563</v>
      </c>
    </row>
    <row r="363">
      <c r="A363" s="99" t="s">
        <v>2573</v>
      </c>
      <c r="B363" s="99">
        <v>7.8238489E8</v>
      </c>
      <c r="C363" s="99" t="s">
        <v>2563</v>
      </c>
    </row>
    <row r="364">
      <c r="A364" s="99" t="s">
        <v>2574</v>
      </c>
      <c r="B364" s="99">
        <v>7.02940818E8</v>
      </c>
      <c r="C364" s="99" t="s">
        <v>2563</v>
      </c>
    </row>
    <row r="365">
      <c r="A365" s="99" t="s">
        <v>2575</v>
      </c>
      <c r="B365" s="99">
        <v>7.7426657E8</v>
      </c>
      <c r="C365" s="99" t="s">
        <v>2563</v>
      </c>
    </row>
    <row r="366">
      <c r="A366" s="99" t="s">
        <v>2576</v>
      </c>
      <c r="B366" s="99">
        <v>7.82714321E8</v>
      </c>
      <c r="C366" s="99" t="s">
        <v>2577</v>
      </c>
    </row>
    <row r="367">
      <c r="A367" s="99" t="s">
        <v>2578</v>
      </c>
      <c r="B367" s="99">
        <v>7.74570036E8</v>
      </c>
      <c r="C367" s="99" t="s">
        <v>2563</v>
      </c>
    </row>
    <row r="368">
      <c r="A368" s="99" t="s">
        <v>2579</v>
      </c>
      <c r="B368" s="99">
        <v>7.85638578E8</v>
      </c>
      <c r="C368" s="99" t="s">
        <v>2563</v>
      </c>
    </row>
    <row r="369">
      <c r="A369" s="99" t="s">
        <v>2580</v>
      </c>
      <c r="B369" s="99">
        <v>7.59685322E8</v>
      </c>
      <c r="C369" s="99" t="s">
        <v>2577</v>
      </c>
    </row>
    <row r="370">
      <c r="A370" s="99" t="s">
        <v>2581</v>
      </c>
      <c r="B370" s="99">
        <v>7.01766639E8</v>
      </c>
      <c r="C370" s="99" t="s">
        <v>2563</v>
      </c>
    </row>
    <row r="371">
      <c r="A371" s="99" t="s">
        <v>2582</v>
      </c>
      <c r="B371" s="99">
        <v>7.02889466E8</v>
      </c>
      <c r="C371" s="99" t="s">
        <v>2563</v>
      </c>
    </row>
    <row r="372">
      <c r="A372" s="99" t="s">
        <v>2583</v>
      </c>
      <c r="B372" s="99">
        <v>7.00610656E8</v>
      </c>
      <c r="C372" s="99" t="s">
        <v>2563</v>
      </c>
    </row>
    <row r="373">
      <c r="A373" s="99" t="s">
        <v>2584</v>
      </c>
      <c r="B373" s="99">
        <v>7.00965979E8</v>
      </c>
      <c r="C373" s="99" t="s">
        <v>2563</v>
      </c>
    </row>
    <row r="374">
      <c r="A374" s="99" t="s">
        <v>2585</v>
      </c>
      <c r="B374" s="99">
        <v>7.758165E8</v>
      </c>
      <c r="C374" s="99" t="s">
        <v>2563</v>
      </c>
    </row>
    <row r="375">
      <c r="A375" s="99" t="s">
        <v>2586</v>
      </c>
      <c r="B375" s="99">
        <v>7.82370085E8</v>
      </c>
      <c r="C375" s="99" t="s">
        <v>2563</v>
      </c>
    </row>
    <row r="376">
      <c r="A376" s="99" t="s">
        <v>2587</v>
      </c>
      <c r="B376" s="99">
        <v>7.87386021E8</v>
      </c>
      <c r="C376" s="99" t="s">
        <v>2563</v>
      </c>
    </row>
    <row r="377">
      <c r="A377" s="99" t="s">
        <v>2588</v>
      </c>
      <c r="B377" s="99">
        <v>7.01326652E8</v>
      </c>
      <c r="C377" s="99" t="s">
        <v>2563</v>
      </c>
    </row>
    <row r="378">
      <c r="A378" s="99" t="s">
        <v>2589</v>
      </c>
      <c r="B378" s="99">
        <v>7.72594514E8</v>
      </c>
      <c r="C378" s="99" t="s">
        <v>2577</v>
      </c>
    </row>
    <row r="379">
      <c r="A379" s="99" t="s">
        <v>2590</v>
      </c>
      <c r="B379" s="99">
        <v>7.81470864E8</v>
      </c>
      <c r="C379" s="99" t="s">
        <v>2577</v>
      </c>
    </row>
    <row r="380">
      <c r="A380" s="99" t="s">
        <v>2591</v>
      </c>
      <c r="B380" s="99">
        <v>7.71497011E8</v>
      </c>
      <c r="C380" s="99" t="s">
        <v>2563</v>
      </c>
    </row>
    <row r="381">
      <c r="A381" s="99" t="s">
        <v>2592</v>
      </c>
      <c r="B381" s="99">
        <v>7.73423531E8</v>
      </c>
      <c r="C381" s="99" t="s">
        <v>2563</v>
      </c>
    </row>
    <row r="382">
      <c r="A382" s="99" t="s">
        <v>2593</v>
      </c>
      <c r="B382" s="99">
        <v>7.03774001E8</v>
      </c>
      <c r="C382" s="99" t="s">
        <v>2563</v>
      </c>
    </row>
    <row r="383">
      <c r="A383" s="99" t="s">
        <v>2594</v>
      </c>
      <c r="B383" s="99">
        <v>7.7976623E8</v>
      </c>
      <c r="C383" s="99" t="s">
        <v>2563</v>
      </c>
    </row>
    <row r="384">
      <c r="A384" s="99" t="s">
        <v>2595</v>
      </c>
      <c r="B384" s="99">
        <v>7.74676877E8</v>
      </c>
      <c r="C384" s="99" t="s">
        <v>2563</v>
      </c>
    </row>
    <row r="385">
      <c r="A385" s="99" t="s">
        <v>2596</v>
      </c>
      <c r="B385" s="99">
        <v>7.74651877E8</v>
      </c>
      <c r="C385" s="99" t="s">
        <v>2563</v>
      </c>
    </row>
    <row r="386">
      <c r="A386" s="99" t="s">
        <v>2597</v>
      </c>
      <c r="B386" s="99">
        <v>7.74676877E8</v>
      </c>
      <c r="C386" s="99" t="s">
        <v>2563</v>
      </c>
    </row>
    <row r="387">
      <c r="A387" s="99" t="s">
        <v>2598</v>
      </c>
      <c r="B387" s="99">
        <v>7.79324022E8</v>
      </c>
      <c r="C387" s="99" t="s">
        <v>2563</v>
      </c>
    </row>
    <row r="388">
      <c r="A388" s="99" t="s">
        <v>2599</v>
      </c>
      <c r="B388" s="99">
        <v>7.856997E8</v>
      </c>
      <c r="C388" s="99" t="s">
        <v>2563</v>
      </c>
    </row>
    <row r="389">
      <c r="A389" s="99" t="s">
        <v>2600</v>
      </c>
      <c r="B389" s="99">
        <v>7.82199844E8</v>
      </c>
      <c r="C389" s="99" t="s">
        <v>2563</v>
      </c>
    </row>
    <row r="390">
      <c r="A390" s="99" t="s">
        <v>2601</v>
      </c>
      <c r="B390" s="99">
        <v>7.81670939E8</v>
      </c>
      <c r="C390" s="99" t="s">
        <v>2563</v>
      </c>
    </row>
    <row r="391">
      <c r="A391" s="99" t="s">
        <v>2602</v>
      </c>
      <c r="B391" s="99">
        <v>7.52954509E8</v>
      </c>
      <c r="C391" s="99" t="s">
        <v>2563</v>
      </c>
    </row>
    <row r="392">
      <c r="A392" s="99" t="s">
        <v>2603</v>
      </c>
      <c r="B392" s="99">
        <v>7.87444412E8</v>
      </c>
      <c r="C392" s="99" t="s">
        <v>2563</v>
      </c>
    </row>
    <row r="393">
      <c r="A393" s="99" t="s">
        <v>2604</v>
      </c>
      <c r="B393" s="99">
        <v>7.05955616E8</v>
      </c>
      <c r="C393" s="99" t="s">
        <v>2563</v>
      </c>
    </row>
    <row r="394">
      <c r="A394" s="99" t="s">
        <v>2605</v>
      </c>
      <c r="B394" s="99">
        <v>7.83658113E8</v>
      </c>
      <c r="C394" s="99" t="s">
        <v>2563</v>
      </c>
    </row>
    <row r="395">
      <c r="A395" s="99" t="s">
        <v>2606</v>
      </c>
      <c r="B395" s="99">
        <v>7.04396626E8</v>
      </c>
      <c r="C395" s="99" t="s">
        <v>2563</v>
      </c>
    </row>
    <row r="396">
      <c r="A396" s="99" t="s">
        <v>2607</v>
      </c>
      <c r="B396" s="99">
        <v>7.0520725E8</v>
      </c>
      <c r="C396" s="99" t="s">
        <v>2577</v>
      </c>
    </row>
    <row r="397">
      <c r="A397" s="99" t="s">
        <v>2608</v>
      </c>
      <c r="B397" s="99">
        <v>7.50584763E8</v>
      </c>
      <c r="C397" s="99" t="s">
        <v>2577</v>
      </c>
    </row>
    <row r="398">
      <c r="A398" s="99" t="s">
        <v>2609</v>
      </c>
      <c r="B398" s="99">
        <v>7.72504631E8</v>
      </c>
      <c r="C398" s="99" t="s">
        <v>2577</v>
      </c>
    </row>
    <row r="399">
      <c r="A399" s="99" t="s">
        <v>2610</v>
      </c>
      <c r="B399" s="99">
        <v>7.79558447E8</v>
      </c>
      <c r="C399" s="99" t="s">
        <v>2563</v>
      </c>
    </row>
    <row r="400">
      <c r="A400" s="99" t="s">
        <v>2611</v>
      </c>
      <c r="B400" s="99">
        <v>7.72618994E8</v>
      </c>
      <c r="C400" s="99" t="s">
        <v>2563</v>
      </c>
    </row>
    <row r="401">
      <c r="A401" s="99" t="s">
        <v>2612</v>
      </c>
      <c r="B401" s="99">
        <v>7.89406224E8</v>
      </c>
      <c r="C401" s="99" t="s">
        <v>2577</v>
      </c>
    </row>
    <row r="402">
      <c r="A402" s="99" t="s">
        <v>2613</v>
      </c>
      <c r="B402" s="99">
        <v>7.85120586E8</v>
      </c>
      <c r="C402" s="99" t="s">
        <v>2563</v>
      </c>
    </row>
    <row r="403">
      <c r="A403" s="99" t="s">
        <v>2614</v>
      </c>
      <c r="B403" s="99">
        <v>7.74459523E8</v>
      </c>
      <c r="C403" s="99" t="s">
        <v>2577</v>
      </c>
    </row>
    <row r="404">
      <c r="A404" s="99" t="s">
        <v>2615</v>
      </c>
      <c r="B404" s="99">
        <v>7.01468189E8</v>
      </c>
      <c r="C404" s="99" t="s">
        <v>2316</v>
      </c>
    </row>
    <row r="405">
      <c r="A405" s="99" t="s">
        <v>2616</v>
      </c>
      <c r="B405" s="99">
        <v>7.00535004E8</v>
      </c>
      <c r="C405" s="99" t="s">
        <v>2316</v>
      </c>
    </row>
    <row r="406">
      <c r="A406" s="99" t="s">
        <v>2617</v>
      </c>
      <c r="B406" s="99">
        <v>7.71800447E8</v>
      </c>
      <c r="C406" s="99" t="s">
        <v>2316</v>
      </c>
    </row>
    <row r="407">
      <c r="A407" s="99" t="s">
        <v>2618</v>
      </c>
      <c r="B407" s="99">
        <v>7.82783813E8</v>
      </c>
      <c r="C407" s="99" t="s">
        <v>2316</v>
      </c>
    </row>
    <row r="408">
      <c r="A408" s="99" t="s">
        <v>2619</v>
      </c>
      <c r="B408" s="99">
        <v>7.08550142E8</v>
      </c>
      <c r="C408" s="99" t="s">
        <v>2316</v>
      </c>
    </row>
    <row r="409">
      <c r="A409" s="99" t="s">
        <v>2620</v>
      </c>
      <c r="B409" s="99">
        <v>7.72688055E8</v>
      </c>
      <c r="C409" s="99" t="s">
        <v>2336</v>
      </c>
    </row>
    <row r="410">
      <c r="A410" s="99" t="s">
        <v>2621</v>
      </c>
      <c r="B410" s="99">
        <v>7.52260442E8</v>
      </c>
      <c r="C410" s="99" t="s">
        <v>2336</v>
      </c>
    </row>
    <row r="411">
      <c r="A411" s="99" t="s">
        <v>2622</v>
      </c>
      <c r="B411" s="99">
        <v>7.89808709E8</v>
      </c>
      <c r="C411" s="99" t="s">
        <v>2336</v>
      </c>
    </row>
    <row r="412">
      <c r="A412" s="99" t="s">
        <v>2623</v>
      </c>
      <c r="B412" s="99">
        <v>7.72202308E8</v>
      </c>
      <c r="C412" s="99" t="s">
        <v>2316</v>
      </c>
    </row>
    <row r="413">
      <c r="A413" s="99" t="s">
        <v>2624</v>
      </c>
      <c r="B413" s="99">
        <v>7.74884727E8</v>
      </c>
      <c r="C413" s="99" t="s">
        <v>2316</v>
      </c>
    </row>
    <row r="414">
      <c r="A414" s="99" t="s">
        <v>2625</v>
      </c>
      <c r="B414" s="99">
        <v>7.52600678E8</v>
      </c>
      <c r="C414" s="99" t="s">
        <v>2316</v>
      </c>
    </row>
    <row r="415">
      <c r="A415" s="99" t="s">
        <v>2626</v>
      </c>
      <c r="B415" s="99">
        <v>7.00242905E8</v>
      </c>
      <c r="C415" s="99" t="s">
        <v>2316</v>
      </c>
    </row>
    <row r="416">
      <c r="A416" s="99" t="s">
        <v>2627</v>
      </c>
      <c r="B416" s="99">
        <v>7.83426931E8</v>
      </c>
      <c r="C416" s="99" t="s">
        <v>2316</v>
      </c>
    </row>
    <row r="417">
      <c r="A417" s="99" t="s">
        <v>2628</v>
      </c>
      <c r="B417" s="99">
        <v>7.00181088E8</v>
      </c>
      <c r="C417" s="99" t="s">
        <v>2336</v>
      </c>
    </row>
    <row r="418">
      <c r="A418" s="99" t="s">
        <v>2629</v>
      </c>
      <c r="B418" s="99">
        <v>7.74429948E8</v>
      </c>
      <c r="C418" s="99" t="s">
        <v>2316</v>
      </c>
    </row>
    <row r="419">
      <c r="A419" s="99" t="s">
        <v>2630</v>
      </c>
      <c r="B419" s="99">
        <v>7.57157733E8</v>
      </c>
      <c r="C419" s="99" t="s">
        <v>2316</v>
      </c>
    </row>
    <row r="420">
      <c r="A420" s="99" t="s">
        <v>2631</v>
      </c>
      <c r="B420" s="99">
        <v>7.81321804E8</v>
      </c>
      <c r="C420" s="99" t="s">
        <v>2316</v>
      </c>
    </row>
    <row r="421">
      <c r="A421" s="99" t="s">
        <v>2632</v>
      </c>
      <c r="B421" s="99">
        <v>7.81321804E8</v>
      </c>
      <c r="C421" s="99" t="s">
        <v>2336</v>
      </c>
    </row>
    <row r="422">
      <c r="A422" s="99" t="s">
        <v>2633</v>
      </c>
      <c r="B422" s="99">
        <v>7.8301002E8</v>
      </c>
      <c r="C422" s="99" t="s">
        <v>2316</v>
      </c>
    </row>
    <row r="423">
      <c r="A423" s="99" t="s">
        <v>2634</v>
      </c>
      <c r="B423" s="99">
        <v>7.73412519E8</v>
      </c>
      <c r="C423" s="99" t="s">
        <v>2316</v>
      </c>
    </row>
    <row r="424">
      <c r="A424" s="99" t="s">
        <v>2635</v>
      </c>
      <c r="B424" s="99">
        <v>7.84041751E8</v>
      </c>
      <c r="C424" s="99" t="s">
        <v>2316</v>
      </c>
    </row>
    <row r="425">
      <c r="A425" s="99" t="s">
        <v>2636</v>
      </c>
      <c r="B425" s="99">
        <v>7.57426149E8</v>
      </c>
      <c r="C425" s="99" t="s">
        <v>2316</v>
      </c>
    </row>
    <row r="426">
      <c r="A426" s="99" t="s">
        <v>2637</v>
      </c>
      <c r="B426" s="99">
        <v>7.76221192E8</v>
      </c>
      <c r="C426" s="99" t="s">
        <v>2316</v>
      </c>
    </row>
    <row r="427">
      <c r="A427" s="99" t="s">
        <v>2638</v>
      </c>
      <c r="B427" s="99">
        <v>7.76669099E8</v>
      </c>
      <c r="C427" s="99" t="s">
        <v>2316</v>
      </c>
    </row>
    <row r="428">
      <c r="A428" s="99" t="s">
        <v>2639</v>
      </c>
      <c r="B428" s="99">
        <v>7.80175001E8</v>
      </c>
      <c r="C428" s="99" t="s">
        <v>2316</v>
      </c>
    </row>
    <row r="429">
      <c r="A429" s="99" t="s">
        <v>2640</v>
      </c>
      <c r="B429" s="99">
        <v>7.8816127E8</v>
      </c>
      <c r="C429" s="99" t="s">
        <v>2316</v>
      </c>
    </row>
    <row r="430">
      <c r="A430" s="99" t="s">
        <v>2641</v>
      </c>
      <c r="B430" s="99">
        <v>7.01691135E8</v>
      </c>
      <c r="C430" s="99" t="s">
        <v>2336</v>
      </c>
    </row>
    <row r="431">
      <c r="A431" s="99" t="s">
        <v>2642</v>
      </c>
      <c r="B431" s="99">
        <v>7.80622097E8</v>
      </c>
      <c r="C431" s="99" t="s">
        <v>2316</v>
      </c>
    </row>
    <row r="432">
      <c r="A432" s="99" t="s">
        <v>2643</v>
      </c>
      <c r="B432" s="99">
        <v>7.5280008E8</v>
      </c>
      <c r="C432" s="99" t="s">
        <v>2316</v>
      </c>
    </row>
    <row r="433">
      <c r="A433" s="99" t="s">
        <v>2644</v>
      </c>
      <c r="B433" s="99">
        <v>7.77871505E8</v>
      </c>
      <c r="C433" s="99" t="s">
        <v>2336</v>
      </c>
    </row>
    <row r="434">
      <c r="A434" s="99" t="s">
        <v>2645</v>
      </c>
      <c r="B434" s="99">
        <v>7.02404599E8</v>
      </c>
      <c r="C434" s="99" t="s">
        <v>2336</v>
      </c>
    </row>
    <row r="435">
      <c r="A435" s="99" t="s">
        <v>2646</v>
      </c>
      <c r="B435" s="99">
        <v>7.75430583E8</v>
      </c>
      <c r="C435" s="99" t="s">
        <v>2336</v>
      </c>
    </row>
    <row r="436">
      <c r="A436" s="99" t="s">
        <v>2647</v>
      </c>
      <c r="B436" s="99">
        <v>7.8555675E8</v>
      </c>
      <c r="C436" s="99" t="s">
        <v>2336</v>
      </c>
    </row>
    <row r="437">
      <c r="A437" s="99" t="s">
        <v>2648</v>
      </c>
      <c r="B437" s="99">
        <v>7.53546909E8</v>
      </c>
      <c r="C437" s="99" t="s">
        <v>2316</v>
      </c>
    </row>
    <row r="438">
      <c r="A438" s="99" t="s">
        <v>2649</v>
      </c>
      <c r="B438" s="99">
        <v>7.068887E8</v>
      </c>
      <c r="C438" s="99" t="s">
        <v>2316</v>
      </c>
    </row>
    <row r="439">
      <c r="A439" s="99" t="s">
        <v>2650</v>
      </c>
      <c r="B439" s="99">
        <v>7.4231657E8</v>
      </c>
      <c r="C439" s="99" t="s">
        <v>2316</v>
      </c>
    </row>
    <row r="440">
      <c r="A440" s="99" t="s">
        <v>2651</v>
      </c>
      <c r="B440" s="99">
        <v>7.50528055E8</v>
      </c>
      <c r="C440" s="99" t="s">
        <v>2316</v>
      </c>
    </row>
    <row r="441">
      <c r="A441" s="99" t="s">
        <v>2652</v>
      </c>
      <c r="B441" s="99">
        <v>7.51516583E8</v>
      </c>
      <c r="C441" s="99" t="s">
        <v>2316</v>
      </c>
    </row>
    <row r="442">
      <c r="A442" s="99" t="s">
        <v>2653</v>
      </c>
      <c r="B442" s="99">
        <v>7.05191996E8</v>
      </c>
      <c r="C442" s="99" t="s">
        <v>2316</v>
      </c>
    </row>
    <row r="443">
      <c r="A443" s="99" t="s">
        <v>2654</v>
      </c>
      <c r="B443" s="99">
        <v>7.78501662E8</v>
      </c>
      <c r="C443" s="99" t="s">
        <v>2336</v>
      </c>
    </row>
    <row r="444">
      <c r="A444" s="99" t="s">
        <v>2655</v>
      </c>
      <c r="B444" s="99">
        <v>7.71189715E8</v>
      </c>
    </row>
    <row r="445">
      <c r="A445" s="99" t="s">
        <v>2656</v>
      </c>
      <c r="B445" s="99">
        <v>7.75898601E8</v>
      </c>
      <c r="C445" s="99" t="s">
        <v>2336</v>
      </c>
    </row>
    <row r="446">
      <c r="A446" s="99" t="s">
        <v>2657</v>
      </c>
      <c r="B446" s="99">
        <v>7.02960557E8</v>
      </c>
      <c r="C446" s="99" t="s">
        <v>2336</v>
      </c>
    </row>
    <row r="447">
      <c r="A447" s="99" t="s">
        <v>2658</v>
      </c>
      <c r="B447" s="99">
        <v>7.85979705E8</v>
      </c>
      <c r="C447" s="99" t="s">
        <v>2316</v>
      </c>
    </row>
    <row r="448">
      <c r="A448" s="99" t="s">
        <v>2659</v>
      </c>
      <c r="B448" s="99">
        <v>7.03367819E8</v>
      </c>
      <c r="C448" s="99" t="s">
        <v>2316</v>
      </c>
    </row>
    <row r="449">
      <c r="A449" s="99" t="s">
        <v>2660</v>
      </c>
      <c r="B449" s="99">
        <v>7.78293383E8</v>
      </c>
      <c r="C449" s="99" t="s">
        <v>2316</v>
      </c>
    </row>
    <row r="450">
      <c r="A450" s="99" t="s">
        <v>2661</v>
      </c>
      <c r="B450" s="99">
        <v>7.52237227E8</v>
      </c>
      <c r="C450" s="99" t="s">
        <v>2316</v>
      </c>
    </row>
    <row r="451">
      <c r="A451" s="99" t="s">
        <v>2662</v>
      </c>
      <c r="B451" s="99">
        <v>7.76661331E8</v>
      </c>
      <c r="C451" s="99" t="s">
        <v>2316</v>
      </c>
    </row>
    <row r="452">
      <c r="A452" s="99" t="s">
        <v>2663</v>
      </c>
      <c r="B452" s="99">
        <v>7.74176949E8</v>
      </c>
      <c r="C452" s="99" t="s">
        <v>2336</v>
      </c>
    </row>
    <row r="453">
      <c r="A453" s="99" t="s">
        <v>2664</v>
      </c>
      <c r="B453" s="99">
        <v>7.97968977E8</v>
      </c>
      <c r="C453" s="99" t="s">
        <v>2316</v>
      </c>
    </row>
    <row r="454">
      <c r="A454" s="99" t="s">
        <v>2665</v>
      </c>
      <c r="B454" s="99">
        <v>7.72068885E8</v>
      </c>
      <c r="C454" s="99" t="s">
        <v>2316</v>
      </c>
    </row>
    <row r="455">
      <c r="A455" s="99" t="s">
        <v>2666</v>
      </c>
      <c r="B455" s="99">
        <v>7.8265557E8</v>
      </c>
      <c r="C455" s="99" t="s">
        <v>2336</v>
      </c>
    </row>
    <row r="456">
      <c r="A456" s="99" t="s">
        <v>2667</v>
      </c>
      <c r="B456" s="99">
        <v>7.72654612E8</v>
      </c>
      <c r="C456" s="99" t="s">
        <v>2336</v>
      </c>
    </row>
    <row r="457">
      <c r="A457" s="99" t="s">
        <v>2668</v>
      </c>
      <c r="B457" s="99">
        <v>7.8496419E8</v>
      </c>
      <c r="C457" s="99" t="s">
        <v>2316</v>
      </c>
    </row>
    <row r="458">
      <c r="A458" s="99" t="s">
        <v>2669</v>
      </c>
      <c r="B458" s="99">
        <v>7.72439784E8</v>
      </c>
      <c r="C458" s="99" t="s">
        <v>2316</v>
      </c>
    </row>
    <row r="459">
      <c r="A459" s="99" t="s">
        <v>2670</v>
      </c>
      <c r="B459" s="99">
        <v>7.5038817E8</v>
      </c>
      <c r="C459" s="99" t="s">
        <v>2316</v>
      </c>
    </row>
    <row r="460">
      <c r="A460" s="99" t="s">
        <v>2671</v>
      </c>
      <c r="B460" s="99">
        <v>7.5983879E8</v>
      </c>
      <c r="C460" s="99" t="s">
        <v>2316</v>
      </c>
    </row>
    <row r="461">
      <c r="A461" s="99" t="s">
        <v>2672</v>
      </c>
      <c r="B461" s="99">
        <v>7.78913992E8</v>
      </c>
      <c r="C461" s="99" t="s">
        <v>2336</v>
      </c>
    </row>
    <row r="462">
      <c r="A462" s="99" t="s">
        <v>2673</v>
      </c>
      <c r="B462" s="99">
        <v>7.73935015E8</v>
      </c>
      <c r="C462" s="99" t="s">
        <v>2486</v>
      </c>
    </row>
    <row r="463">
      <c r="A463" s="99" t="s">
        <v>2674</v>
      </c>
      <c r="B463" s="99">
        <v>7.03491553E8</v>
      </c>
      <c r="C463" s="99" t="s">
        <v>2486</v>
      </c>
    </row>
    <row r="464">
      <c r="A464" s="99" t="s">
        <v>2675</v>
      </c>
      <c r="B464" s="99">
        <v>7.79597131E8</v>
      </c>
      <c r="C464" s="99" t="s">
        <v>2486</v>
      </c>
    </row>
    <row r="465">
      <c r="A465" s="99" t="s">
        <v>2676</v>
      </c>
      <c r="B465" s="99">
        <v>7.59941765E8</v>
      </c>
      <c r="C465" s="99" t="s">
        <v>2486</v>
      </c>
    </row>
    <row r="466">
      <c r="A466" s="99" t="s">
        <v>2677</v>
      </c>
      <c r="B466" s="99">
        <v>7.78004918E8</v>
      </c>
      <c r="C466" s="99" t="s">
        <v>2486</v>
      </c>
    </row>
    <row r="467">
      <c r="A467" s="99" t="s">
        <v>2678</v>
      </c>
      <c r="B467" s="99">
        <v>7.05053756E8</v>
      </c>
      <c r="C467" s="99" t="s">
        <v>2486</v>
      </c>
    </row>
    <row r="468">
      <c r="A468" s="99" t="s">
        <v>2679</v>
      </c>
      <c r="B468" s="99">
        <v>7.80960154E8</v>
      </c>
      <c r="C468" s="99" t="s">
        <v>2486</v>
      </c>
    </row>
    <row r="469">
      <c r="A469" s="99" t="s">
        <v>2680</v>
      </c>
      <c r="B469" s="99">
        <v>7.852128E8</v>
      </c>
      <c r="C469" s="99" t="s">
        <v>2486</v>
      </c>
    </row>
    <row r="470">
      <c r="A470" s="99" t="s">
        <v>2681</v>
      </c>
      <c r="B470" s="99">
        <v>7.04556467E8</v>
      </c>
      <c r="C470" s="99" t="s">
        <v>2486</v>
      </c>
    </row>
    <row r="471">
      <c r="A471" s="99" t="s">
        <v>2682</v>
      </c>
      <c r="B471" s="99">
        <v>7.72700038E8</v>
      </c>
      <c r="C471" s="99" t="s">
        <v>2486</v>
      </c>
    </row>
    <row r="472">
      <c r="A472" s="99" t="s">
        <v>2683</v>
      </c>
      <c r="B472" s="99">
        <v>7.55928616E8</v>
      </c>
      <c r="C472" s="99" t="s">
        <v>2684</v>
      </c>
    </row>
    <row r="473">
      <c r="A473" s="99" t="s">
        <v>2685</v>
      </c>
      <c r="B473" s="99">
        <v>7.56660245E8</v>
      </c>
      <c r="C473" s="99" t="s">
        <v>2486</v>
      </c>
    </row>
    <row r="474">
      <c r="A474" s="99" t="s">
        <v>2686</v>
      </c>
      <c r="B474" s="99">
        <v>7.06959429E8</v>
      </c>
      <c r="C474" s="99" t="s">
        <v>2486</v>
      </c>
    </row>
    <row r="475">
      <c r="A475" s="99" t="s">
        <v>2687</v>
      </c>
      <c r="B475" s="99">
        <v>7.73493129E8</v>
      </c>
      <c r="C475" s="99" t="s">
        <v>2486</v>
      </c>
    </row>
    <row r="476">
      <c r="A476" s="99" t="s">
        <v>2688</v>
      </c>
      <c r="B476" s="99">
        <v>7.72367539E8</v>
      </c>
      <c r="C476" s="99" t="s">
        <v>2486</v>
      </c>
    </row>
    <row r="477">
      <c r="A477" s="99" t="s">
        <v>2689</v>
      </c>
      <c r="B477" s="99">
        <v>7.8209656E8</v>
      </c>
      <c r="C477" s="99" t="s">
        <v>2486</v>
      </c>
    </row>
    <row r="478">
      <c r="A478" s="99" t="s">
        <v>2690</v>
      </c>
      <c r="B478" s="99">
        <v>7.88100931E8</v>
      </c>
      <c r="C478" s="99" t="s">
        <v>2486</v>
      </c>
    </row>
    <row r="479">
      <c r="A479" s="99" t="s">
        <v>2691</v>
      </c>
      <c r="B479" s="99">
        <v>7.73416819E8</v>
      </c>
      <c r="C479" s="99" t="s">
        <v>2486</v>
      </c>
    </row>
    <row r="480">
      <c r="A480" s="99" t="s">
        <v>2692</v>
      </c>
      <c r="B480" s="99">
        <v>7.76476764E8</v>
      </c>
      <c r="C480" s="99" t="s">
        <v>2486</v>
      </c>
    </row>
    <row r="481">
      <c r="A481" s="99" t="s">
        <v>2693</v>
      </c>
      <c r="B481" s="99">
        <v>7.77854412E8</v>
      </c>
      <c r="C481" s="99" t="s">
        <v>2486</v>
      </c>
    </row>
    <row r="482">
      <c r="A482" s="99" t="s">
        <v>2694</v>
      </c>
      <c r="B482" s="99">
        <v>7.75380833E8</v>
      </c>
      <c r="C482" s="99" t="s">
        <v>2486</v>
      </c>
    </row>
    <row r="483">
      <c r="A483" s="99" t="s">
        <v>2695</v>
      </c>
      <c r="B483" s="99">
        <v>7.75464621E8</v>
      </c>
      <c r="C483" s="99" t="s">
        <v>2488</v>
      </c>
    </row>
    <row r="484">
      <c r="A484" s="99" t="s">
        <v>2696</v>
      </c>
      <c r="B484" s="99">
        <v>7.03462275E8</v>
      </c>
      <c r="C484" s="99" t="s">
        <v>2486</v>
      </c>
    </row>
    <row r="485">
      <c r="A485" s="99" t="s">
        <v>2697</v>
      </c>
      <c r="B485" s="99">
        <v>7.72070638E8</v>
      </c>
      <c r="C485" s="99" t="s">
        <v>2486</v>
      </c>
    </row>
    <row r="486">
      <c r="A486" s="99" t="s">
        <v>2698</v>
      </c>
      <c r="B486" s="99">
        <v>7.82319305E8</v>
      </c>
      <c r="C486" s="99" t="s">
        <v>2486</v>
      </c>
    </row>
    <row r="487">
      <c r="A487" s="99" t="s">
        <v>2699</v>
      </c>
      <c r="B487" s="99">
        <v>7.73895424E8</v>
      </c>
      <c r="C487" s="99" t="s">
        <v>2486</v>
      </c>
    </row>
    <row r="488">
      <c r="A488" s="99" t="s">
        <v>2700</v>
      </c>
      <c r="B488" s="99">
        <v>7.05350953E8</v>
      </c>
      <c r="C488" s="99" t="s">
        <v>2486</v>
      </c>
    </row>
    <row r="489">
      <c r="A489" s="99" t="s">
        <v>2701</v>
      </c>
      <c r="B489" s="99">
        <v>7.84234145E8</v>
      </c>
      <c r="C489" s="99" t="s">
        <v>2486</v>
      </c>
    </row>
    <row r="490">
      <c r="A490" s="99" t="s">
        <v>2702</v>
      </c>
      <c r="B490" s="99">
        <v>7.75300297E8</v>
      </c>
      <c r="C490" s="99" t="s">
        <v>2486</v>
      </c>
    </row>
    <row r="491">
      <c r="A491" s="99" t="s">
        <v>2703</v>
      </c>
      <c r="B491" s="99">
        <v>7.72625683E8</v>
      </c>
      <c r="C491" s="99" t="s">
        <v>2486</v>
      </c>
    </row>
    <row r="492">
      <c r="A492" s="99" t="s">
        <v>2704</v>
      </c>
      <c r="B492" s="99">
        <v>7.04533823E8</v>
      </c>
      <c r="C492" s="99" t="s">
        <v>2486</v>
      </c>
    </row>
    <row r="493">
      <c r="A493" s="99" t="s">
        <v>2705</v>
      </c>
      <c r="B493" s="99">
        <v>7.77254262E8</v>
      </c>
      <c r="C493" s="99" t="s">
        <v>2486</v>
      </c>
    </row>
    <row r="494">
      <c r="A494" s="99" t="s">
        <v>2706</v>
      </c>
      <c r="B494" s="99">
        <v>7.88797757E8</v>
      </c>
      <c r="C494" s="99" t="s">
        <v>2486</v>
      </c>
    </row>
    <row r="495">
      <c r="A495" s="99" t="s">
        <v>2707</v>
      </c>
      <c r="B495" s="99">
        <v>7.52590878E8</v>
      </c>
      <c r="C495" s="99" t="s">
        <v>2486</v>
      </c>
    </row>
    <row r="496">
      <c r="A496" s="99" t="s">
        <v>2708</v>
      </c>
      <c r="B496" s="99">
        <v>7.00500656E8</v>
      </c>
      <c r="C496" s="99" t="s">
        <v>2486</v>
      </c>
    </row>
    <row r="497">
      <c r="A497" s="99" t="s">
        <v>2709</v>
      </c>
      <c r="B497" s="99">
        <v>7.86713597E8</v>
      </c>
      <c r="C497" s="99" t="s">
        <v>2486</v>
      </c>
    </row>
    <row r="498">
      <c r="A498" s="99" t="s">
        <v>2710</v>
      </c>
      <c r="B498" s="99">
        <v>7.72407235E8</v>
      </c>
      <c r="C498" s="99" t="s">
        <v>2486</v>
      </c>
    </row>
    <row r="499">
      <c r="A499" s="99" t="s">
        <v>2711</v>
      </c>
      <c r="B499" s="99">
        <v>7.74548743E8</v>
      </c>
      <c r="C499" s="99" t="s">
        <v>2488</v>
      </c>
    </row>
    <row r="500">
      <c r="A500" s="99" t="s">
        <v>2712</v>
      </c>
      <c r="B500" s="99">
        <v>7.73212858E8</v>
      </c>
      <c r="C500" s="99" t="s">
        <v>2486</v>
      </c>
    </row>
    <row r="501">
      <c r="A501" s="99" t="s">
        <v>2713</v>
      </c>
      <c r="B501" s="99">
        <v>7.85956631E8</v>
      </c>
      <c r="C501" s="99" t="s">
        <v>2486</v>
      </c>
    </row>
    <row r="502">
      <c r="A502" s="99" t="s">
        <v>2714</v>
      </c>
      <c r="B502" s="99">
        <v>7.72558657E8</v>
      </c>
      <c r="C502" s="99" t="s">
        <v>2486</v>
      </c>
    </row>
    <row r="503">
      <c r="A503" s="99" t="s">
        <v>2715</v>
      </c>
      <c r="B503" s="99">
        <v>7.8750916E8</v>
      </c>
      <c r="C503" s="99" t="s">
        <v>2486</v>
      </c>
    </row>
    <row r="504">
      <c r="A504" s="99" t="s">
        <v>2716</v>
      </c>
      <c r="B504" s="99">
        <v>7.79653649E8</v>
      </c>
      <c r="C504" s="99" t="s">
        <v>2486</v>
      </c>
    </row>
    <row r="505">
      <c r="A505" s="99" t="s">
        <v>2717</v>
      </c>
      <c r="B505" s="99">
        <v>7.0634136E8</v>
      </c>
      <c r="C505" s="99" t="s">
        <v>2486</v>
      </c>
    </row>
    <row r="506">
      <c r="A506" s="99" t="s">
        <v>2718</v>
      </c>
      <c r="B506" s="99">
        <v>7.06648737E8</v>
      </c>
      <c r="C506" s="99" t="s">
        <v>2486</v>
      </c>
    </row>
    <row r="507">
      <c r="A507" s="99" t="s">
        <v>2719</v>
      </c>
      <c r="B507" s="99">
        <v>7.75367915E8</v>
      </c>
      <c r="C507" s="99" t="s">
        <v>2486</v>
      </c>
    </row>
    <row r="508">
      <c r="A508" s="99" t="s">
        <v>2720</v>
      </c>
      <c r="B508" s="99">
        <v>7.79735278E8</v>
      </c>
      <c r="C508" s="99" t="s">
        <v>2488</v>
      </c>
    </row>
    <row r="509">
      <c r="A509" s="99" t="s">
        <v>2721</v>
      </c>
      <c r="B509" s="99">
        <v>7.54324484E8</v>
      </c>
      <c r="C509" s="99" t="s">
        <v>2486</v>
      </c>
    </row>
    <row r="510">
      <c r="A510" s="99" t="s">
        <v>2722</v>
      </c>
      <c r="B510" s="99">
        <v>7.79153297E8</v>
      </c>
      <c r="C510" s="99" t="s">
        <v>2486</v>
      </c>
    </row>
    <row r="511">
      <c r="A511" s="99" t="s">
        <v>2723</v>
      </c>
      <c r="B511" s="99">
        <v>7.03181311E8</v>
      </c>
      <c r="C511" s="99" t="s">
        <v>2486</v>
      </c>
    </row>
    <row r="512">
      <c r="A512" s="99" t="s">
        <v>2724</v>
      </c>
      <c r="B512" s="99">
        <v>7.57808515E8</v>
      </c>
      <c r="C512" s="99" t="s">
        <v>2486</v>
      </c>
    </row>
    <row r="513">
      <c r="A513" s="99" t="s">
        <v>2725</v>
      </c>
      <c r="B513" s="99">
        <v>7.04209706E8</v>
      </c>
      <c r="C513" s="99" t="s">
        <v>2486</v>
      </c>
    </row>
    <row r="514">
      <c r="A514" s="99" t="s">
        <v>2726</v>
      </c>
      <c r="B514" s="99">
        <v>7.84970532E8</v>
      </c>
      <c r="C514" s="99" t="s">
        <v>2486</v>
      </c>
    </row>
    <row r="515">
      <c r="A515" s="99" t="s">
        <v>2727</v>
      </c>
      <c r="B515" s="99">
        <v>7.0480955E8</v>
      </c>
      <c r="C515" s="99" t="s">
        <v>2486</v>
      </c>
    </row>
    <row r="516">
      <c r="A516" s="99" t="s">
        <v>2728</v>
      </c>
      <c r="B516" s="99">
        <v>7.50779644E8</v>
      </c>
      <c r="C516" s="99" t="s">
        <v>2486</v>
      </c>
    </row>
    <row r="517">
      <c r="A517" s="99" t="s">
        <v>2729</v>
      </c>
      <c r="B517" s="99">
        <v>7.04252751E8</v>
      </c>
      <c r="C517" s="99" t="s">
        <v>2488</v>
      </c>
    </row>
    <row r="518">
      <c r="A518" s="99" t="s">
        <v>2730</v>
      </c>
      <c r="B518" s="99">
        <v>7.56191452E8</v>
      </c>
      <c r="C518" s="99" t="s">
        <v>2731</v>
      </c>
    </row>
    <row r="519">
      <c r="A519" s="99" t="s">
        <v>2732</v>
      </c>
      <c r="B519" s="99">
        <v>7.7219045E8</v>
      </c>
      <c r="C519" s="99" t="s">
        <v>2731</v>
      </c>
    </row>
    <row r="520">
      <c r="A520" s="99" t="s">
        <v>2733</v>
      </c>
      <c r="B520" s="99">
        <v>7.79003737E8</v>
      </c>
      <c r="C520" s="99" t="s">
        <v>2731</v>
      </c>
    </row>
    <row r="521">
      <c r="A521" s="99" t="s">
        <v>2734</v>
      </c>
      <c r="B521" s="99">
        <v>7.84456331E8</v>
      </c>
      <c r="C521" s="99" t="s">
        <v>2731</v>
      </c>
    </row>
    <row r="522">
      <c r="A522" s="99" t="s">
        <v>2735</v>
      </c>
      <c r="B522" s="99">
        <v>7.77076422E8</v>
      </c>
      <c r="C522" s="99" t="s">
        <v>2731</v>
      </c>
    </row>
    <row r="523">
      <c r="A523" s="99" t="s">
        <v>2736</v>
      </c>
      <c r="B523" s="99">
        <v>7.8555675E8</v>
      </c>
      <c r="C523" s="99" t="s">
        <v>2731</v>
      </c>
    </row>
    <row r="524">
      <c r="A524" s="99" t="s">
        <v>2737</v>
      </c>
      <c r="B524" s="99">
        <v>7.56980868E8</v>
      </c>
      <c r="C524" s="99" t="s">
        <v>2731</v>
      </c>
    </row>
    <row r="525">
      <c r="A525" s="99" t="s">
        <v>2738</v>
      </c>
      <c r="B525" s="99">
        <v>7.56980868E8</v>
      </c>
      <c r="C525" s="99" t="s">
        <v>2731</v>
      </c>
    </row>
    <row r="526">
      <c r="A526" s="99" t="s">
        <v>2739</v>
      </c>
      <c r="B526" s="99">
        <v>7.78088371E8</v>
      </c>
      <c r="C526" s="99" t="s">
        <v>2731</v>
      </c>
    </row>
    <row r="527">
      <c r="A527" s="99" t="s">
        <v>2740</v>
      </c>
      <c r="B527" s="99">
        <v>7.74549769E8</v>
      </c>
      <c r="C527" s="99" t="s">
        <v>2731</v>
      </c>
    </row>
    <row r="528">
      <c r="A528" s="99" t="s">
        <v>2741</v>
      </c>
      <c r="B528" s="99">
        <v>7.8301744E8</v>
      </c>
      <c r="C528" s="99" t="s">
        <v>2731</v>
      </c>
    </row>
    <row r="529">
      <c r="A529" s="99" t="s">
        <v>2742</v>
      </c>
      <c r="B529" s="99">
        <v>7.83037451E8</v>
      </c>
      <c r="C529" s="99" t="s">
        <v>2731</v>
      </c>
    </row>
    <row r="530">
      <c r="A530" s="99" t="s">
        <v>2743</v>
      </c>
      <c r="B530" s="99">
        <v>7.85280637E8</v>
      </c>
      <c r="C530" s="99" t="s">
        <v>2731</v>
      </c>
    </row>
    <row r="531">
      <c r="A531" s="99" t="s">
        <v>2744</v>
      </c>
      <c r="B531" s="99">
        <v>7.82307636E8</v>
      </c>
      <c r="C531" s="99" t="s">
        <v>2731</v>
      </c>
    </row>
    <row r="532">
      <c r="A532" s="99" t="s">
        <v>2745</v>
      </c>
      <c r="B532" s="99">
        <v>7.84078444E8</v>
      </c>
      <c r="C532" s="99" t="s">
        <v>2731</v>
      </c>
    </row>
    <row r="533">
      <c r="A533" s="99" t="s">
        <v>2746</v>
      </c>
      <c r="B533" s="99">
        <v>7.83280614E8</v>
      </c>
      <c r="C533" s="99" t="s">
        <v>2731</v>
      </c>
    </row>
    <row r="534">
      <c r="A534" s="99" t="s">
        <v>2747</v>
      </c>
      <c r="B534" s="99">
        <v>7.00339493E8</v>
      </c>
      <c r="C534" s="99" t="s">
        <v>2731</v>
      </c>
    </row>
    <row r="535">
      <c r="A535" s="99" t="s">
        <v>2748</v>
      </c>
      <c r="B535" s="99">
        <v>7.81527685E8</v>
      </c>
      <c r="C535" s="99" t="s">
        <v>2731</v>
      </c>
    </row>
    <row r="536">
      <c r="A536" s="99" t="s">
        <v>2749</v>
      </c>
      <c r="B536" s="99">
        <v>7.73286185E8</v>
      </c>
      <c r="C536" s="99" t="s">
        <v>2731</v>
      </c>
    </row>
    <row r="537">
      <c r="A537" s="99" t="s">
        <v>2750</v>
      </c>
      <c r="B537" s="99">
        <v>7.82067122E8</v>
      </c>
      <c r="C537" s="99" t="s">
        <v>2731</v>
      </c>
    </row>
    <row r="538">
      <c r="A538" s="99" t="s">
        <v>2751</v>
      </c>
      <c r="B538" s="99">
        <v>7.72729009E8</v>
      </c>
      <c r="C538" s="99" t="s">
        <v>2731</v>
      </c>
    </row>
    <row r="539">
      <c r="A539" s="99" t="s">
        <v>2752</v>
      </c>
      <c r="B539" s="99">
        <v>7.91501859E8</v>
      </c>
      <c r="C539" s="99" t="s">
        <v>2731</v>
      </c>
    </row>
    <row r="540">
      <c r="A540" s="99" t="s">
        <v>2753</v>
      </c>
      <c r="B540" s="99">
        <v>7.72436781E8</v>
      </c>
      <c r="C540" s="99" t="s">
        <v>2731</v>
      </c>
    </row>
    <row r="541">
      <c r="A541" s="99" t="s">
        <v>2754</v>
      </c>
      <c r="B541" s="99">
        <v>7.78925118E8</v>
      </c>
      <c r="C541" s="99" t="s">
        <v>2731</v>
      </c>
    </row>
    <row r="542">
      <c r="A542" s="99" t="s">
        <v>2755</v>
      </c>
      <c r="B542" s="99">
        <v>7.04634488E8</v>
      </c>
      <c r="C542" s="99" t="s">
        <v>2731</v>
      </c>
    </row>
    <row r="543">
      <c r="A543" s="99" t="s">
        <v>2756</v>
      </c>
      <c r="B543" s="99">
        <v>7.82788807E8</v>
      </c>
      <c r="C543" s="99" t="s">
        <v>2731</v>
      </c>
    </row>
    <row r="544">
      <c r="A544" s="99" t="s">
        <v>2757</v>
      </c>
      <c r="B544" s="99">
        <v>7.76555999E8</v>
      </c>
      <c r="C544" s="99" t="s">
        <v>2731</v>
      </c>
    </row>
    <row r="545">
      <c r="A545" s="99" t="s">
        <v>2758</v>
      </c>
      <c r="B545" s="99">
        <v>7.58463422E8</v>
      </c>
      <c r="C545" s="99" t="s">
        <v>2731</v>
      </c>
    </row>
    <row r="546">
      <c r="A546" s="99" t="s">
        <v>2759</v>
      </c>
      <c r="B546" s="99">
        <v>7.79209002E8</v>
      </c>
      <c r="C546" s="99" t="s">
        <v>2731</v>
      </c>
    </row>
    <row r="547">
      <c r="A547" s="99" t="s">
        <v>2760</v>
      </c>
      <c r="B547" s="99">
        <v>7.77938978E8</v>
      </c>
      <c r="C547" s="99" t="s">
        <v>2731</v>
      </c>
    </row>
    <row r="548">
      <c r="A548" s="99" t="s">
        <v>2761</v>
      </c>
      <c r="B548" s="99">
        <v>7.85086006E8</v>
      </c>
      <c r="C548" s="99" t="s">
        <v>2731</v>
      </c>
    </row>
    <row r="549">
      <c r="A549" s="99" t="s">
        <v>2762</v>
      </c>
      <c r="B549" s="99">
        <v>7.51891298E8</v>
      </c>
      <c r="C549" s="99" t="s">
        <v>2731</v>
      </c>
    </row>
    <row r="550">
      <c r="A550" s="99" t="s">
        <v>2763</v>
      </c>
      <c r="B550" s="99">
        <v>7.74631129E8</v>
      </c>
      <c r="C550" s="99" t="s">
        <v>2731</v>
      </c>
    </row>
    <row r="551">
      <c r="A551" s="99" t="s">
        <v>2764</v>
      </c>
      <c r="B551" s="99">
        <v>7.73585087E8</v>
      </c>
      <c r="C551" s="99" t="s">
        <v>2731</v>
      </c>
    </row>
    <row r="552">
      <c r="A552" s="99" t="s">
        <v>2765</v>
      </c>
      <c r="B552" s="99">
        <v>7.80755775E8</v>
      </c>
      <c r="C552" s="99" t="s">
        <v>2731</v>
      </c>
    </row>
    <row r="553">
      <c r="A553" s="99" t="s">
        <v>2766</v>
      </c>
      <c r="B553" s="99">
        <v>7.04797591E8</v>
      </c>
      <c r="C553" s="99" t="s">
        <v>2731</v>
      </c>
    </row>
    <row r="554">
      <c r="A554" s="99" t="s">
        <v>2767</v>
      </c>
      <c r="B554" s="99">
        <v>7.00682704E8</v>
      </c>
      <c r="C554" s="99" t="s">
        <v>2731</v>
      </c>
    </row>
    <row r="555">
      <c r="A555" s="99" t="s">
        <v>2768</v>
      </c>
      <c r="B555" s="99">
        <v>7.8909887E8</v>
      </c>
      <c r="C555" s="99" t="s">
        <v>2731</v>
      </c>
    </row>
    <row r="556">
      <c r="A556" s="99" t="s">
        <v>2769</v>
      </c>
      <c r="B556" s="99">
        <v>7.85281991E8</v>
      </c>
      <c r="C556" s="99" t="s">
        <v>2731</v>
      </c>
    </row>
    <row r="557">
      <c r="A557" s="99" t="s">
        <v>2770</v>
      </c>
      <c r="B557" s="99">
        <v>7.73929029E8</v>
      </c>
      <c r="C557" s="99" t="s">
        <v>2731</v>
      </c>
    </row>
    <row r="558">
      <c r="A558" s="99" t="s">
        <v>2771</v>
      </c>
      <c r="B558" s="99">
        <v>7.77122122E8</v>
      </c>
      <c r="C558" s="99" t="s">
        <v>2772</v>
      </c>
    </row>
    <row r="559">
      <c r="A559" s="99" t="s">
        <v>2773</v>
      </c>
      <c r="B559" s="99">
        <v>7.57202394E8</v>
      </c>
      <c r="C559" s="99" t="s">
        <v>2488</v>
      </c>
    </row>
    <row r="560">
      <c r="A560" s="99" t="s">
        <v>2774</v>
      </c>
      <c r="B560" s="99">
        <v>7.83205527E8</v>
      </c>
      <c r="C560" s="99" t="s">
        <v>2488</v>
      </c>
    </row>
    <row r="561">
      <c r="A561" s="99" t="s">
        <v>2775</v>
      </c>
      <c r="B561" s="99">
        <v>7.72075879E8</v>
      </c>
      <c r="C561" s="99" t="s">
        <v>2488</v>
      </c>
    </row>
    <row r="562">
      <c r="A562" s="99" t="s">
        <v>2776</v>
      </c>
      <c r="B562" s="99">
        <v>7.85695019E8</v>
      </c>
      <c r="C562" s="99" t="s">
        <v>2488</v>
      </c>
    </row>
    <row r="563">
      <c r="A563" s="99" t="s">
        <v>2777</v>
      </c>
      <c r="B563" s="99">
        <v>7.56607084E8</v>
      </c>
      <c r="C563" s="99" t="s">
        <v>2488</v>
      </c>
    </row>
    <row r="564">
      <c r="A564" s="99" t="s">
        <v>2778</v>
      </c>
      <c r="B564" s="99">
        <v>7.51179163E8</v>
      </c>
      <c r="C564" s="99" t="s">
        <v>2488</v>
      </c>
    </row>
    <row r="565">
      <c r="A565" s="99" t="s">
        <v>2779</v>
      </c>
      <c r="B565" s="99">
        <v>7.83193765E8</v>
      </c>
      <c r="C565" s="99" t="s">
        <v>2488</v>
      </c>
    </row>
    <row r="566">
      <c r="A566" s="99" t="s">
        <v>2780</v>
      </c>
      <c r="B566" s="99">
        <v>7.42056764E8</v>
      </c>
      <c r="C566" s="99" t="s">
        <v>2488</v>
      </c>
    </row>
    <row r="567">
      <c r="A567" s="99" t="s">
        <v>2781</v>
      </c>
      <c r="B567" s="99">
        <v>7.06380117E8</v>
      </c>
      <c r="C567" s="99" t="s">
        <v>2488</v>
      </c>
    </row>
    <row r="568">
      <c r="A568" s="99" t="s">
        <v>2782</v>
      </c>
      <c r="B568" s="99">
        <v>7.92561091E8</v>
      </c>
      <c r="C568" s="99" t="s">
        <v>2488</v>
      </c>
    </row>
    <row r="569">
      <c r="A569" s="99" t="s">
        <v>2783</v>
      </c>
      <c r="B569" s="99">
        <v>7.58685831E8</v>
      </c>
      <c r="C569" s="99" t="s">
        <v>2488</v>
      </c>
    </row>
    <row r="570">
      <c r="A570" s="99" t="s">
        <v>2784</v>
      </c>
      <c r="B570" s="99">
        <v>7.6117938E8</v>
      </c>
      <c r="C570" s="99" t="s">
        <v>2488</v>
      </c>
    </row>
    <row r="571">
      <c r="A571" s="99" t="s">
        <v>2785</v>
      </c>
      <c r="B571" s="99">
        <v>7.09338285E8</v>
      </c>
      <c r="C571" s="99" t="s">
        <v>2416</v>
      </c>
    </row>
    <row r="572">
      <c r="A572" s="99" t="s">
        <v>2786</v>
      </c>
      <c r="B572" s="99">
        <v>7.79165174E8</v>
      </c>
      <c r="C572" s="99" t="s">
        <v>2488</v>
      </c>
    </row>
    <row r="573">
      <c r="A573" s="99" t="s">
        <v>2787</v>
      </c>
      <c r="B573" s="99">
        <v>7.55875539E8</v>
      </c>
      <c r="C573" s="99" t="s">
        <v>2488</v>
      </c>
    </row>
    <row r="574">
      <c r="A574" s="99" t="s">
        <v>2788</v>
      </c>
      <c r="B574" s="99">
        <v>7.55875539E8</v>
      </c>
      <c r="C574" s="99" t="s">
        <v>2488</v>
      </c>
    </row>
    <row r="575">
      <c r="A575" s="99" t="s">
        <v>2789</v>
      </c>
      <c r="B575" s="99">
        <v>7.54995961E8</v>
      </c>
      <c r="C575" s="99" t="s">
        <v>2488</v>
      </c>
    </row>
    <row r="576">
      <c r="A576" s="99" t="s">
        <v>2790</v>
      </c>
      <c r="B576" s="99">
        <v>7.74184611E8</v>
      </c>
      <c r="C576" s="99" t="s">
        <v>2488</v>
      </c>
    </row>
    <row r="577">
      <c r="A577" s="99" t="s">
        <v>2791</v>
      </c>
      <c r="B577" s="99">
        <v>7.8409912E8</v>
      </c>
      <c r="C577" s="99" t="s">
        <v>2387</v>
      </c>
    </row>
    <row r="578">
      <c r="A578" s="99" t="s">
        <v>2792</v>
      </c>
      <c r="B578" s="99">
        <v>7.74817017E8</v>
      </c>
      <c r="C578" s="99" t="s">
        <v>2387</v>
      </c>
    </row>
    <row r="579">
      <c r="A579" s="99" t="s">
        <v>2793</v>
      </c>
      <c r="B579" s="99">
        <v>7.06545706E8</v>
      </c>
      <c r="C579" s="99" t="s">
        <v>2387</v>
      </c>
    </row>
    <row r="580">
      <c r="A580" s="99" t="s">
        <v>2794</v>
      </c>
      <c r="B580" s="99">
        <v>7.06297698E8</v>
      </c>
      <c r="C580" s="99" t="s">
        <v>2387</v>
      </c>
    </row>
    <row r="581">
      <c r="A581" s="99" t="s">
        <v>2795</v>
      </c>
      <c r="B581" s="99">
        <v>7.58009278E8</v>
      </c>
      <c r="C581" s="99" t="s">
        <v>2387</v>
      </c>
    </row>
    <row r="582">
      <c r="A582" s="99" t="s">
        <v>2796</v>
      </c>
      <c r="B582" s="99">
        <v>7.58108171E8</v>
      </c>
      <c r="C582" s="99" t="s">
        <v>2387</v>
      </c>
    </row>
    <row r="583">
      <c r="A583" s="99" t="s">
        <v>2797</v>
      </c>
      <c r="B583" s="99">
        <v>7.8891607E8</v>
      </c>
      <c r="C583" s="99" t="s">
        <v>2387</v>
      </c>
    </row>
    <row r="584">
      <c r="A584" s="99" t="s">
        <v>2798</v>
      </c>
      <c r="B584" s="99">
        <v>7.01329234E8</v>
      </c>
      <c r="C584" s="99" t="s">
        <v>2387</v>
      </c>
    </row>
    <row r="585">
      <c r="A585" s="99" t="s">
        <v>2799</v>
      </c>
      <c r="B585" s="99">
        <v>7.84946754E8</v>
      </c>
      <c r="C585" s="99" t="s">
        <v>2387</v>
      </c>
    </row>
    <row r="586">
      <c r="A586" s="99" t="s">
        <v>2800</v>
      </c>
      <c r="B586" s="99">
        <v>7.12688894E8</v>
      </c>
      <c r="C586" s="99" t="s">
        <v>2387</v>
      </c>
    </row>
    <row r="587">
      <c r="A587" s="99" t="s">
        <v>2801</v>
      </c>
      <c r="B587" s="99">
        <v>7.72361114E8</v>
      </c>
      <c r="C587" s="99" t="s">
        <v>2416</v>
      </c>
    </row>
    <row r="588">
      <c r="A588" s="99" t="s">
        <v>2802</v>
      </c>
      <c r="B588" s="99">
        <v>7.84149032E8</v>
      </c>
      <c r="C588" s="99" t="s">
        <v>2387</v>
      </c>
    </row>
    <row r="589">
      <c r="A589" s="99" t="s">
        <v>2803</v>
      </c>
      <c r="B589" s="99">
        <v>7.51674817E8</v>
      </c>
      <c r="C589" s="99" t="s">
        <v>2387</v>
      </c>
    </row>
    <row r="590">
      <c r="A590" s="99" t="s">
        <v>2804</v>
      </c>
      <c r="B590" s="99">
        <v>7.72459805E8</v>
      </c>
      <c r="C590" s="99" t="s">
        <v>2387</v>
      </c>
    </row>
    <row r="591">
      <c r="A591" s="99" t="s">
        <v>2805</v>
      </c>
      <c r="B591" s="99">
        <v>7.53946811E8</v>
      </c>
      <c r="C591" s="99" t="s">
        <v>2387</v>
      </c>
    </row>
    <row r="592">
      <c r="A592" s="99" t="s">
        <v>2806</v>
      </c>
      <c r="B592" s="99">
        <v>7.73423889E8</v>
      </c>
      <c r="C592" s="99" t="s">
        <v>2387</v>
      </c>
    </row>
    <row r="593">
      <c r="A593" s="99" t="s">
        <v>2807</v>
      </c>
      <c r="B593" s="99">
        <v>7.73920362E8</v>
      </c>
      <c r="C593" s="99" t="s">
        <v>2387</v>
      </c>
    </row>
    <row r="594">
      <c r="A594" s="99" t="s">
        <v>2808</v>
      </c>
      <c r="B594" s="99">
        <v>7.75659706E8</v>
      </c>
      <c r="C594" s="99" t="s">
        <v>2416</v>
      </c>
    </row>
    <row r="595">
      <c r="A595" s="99" t="s">
        <v>2809</v>
      </c>
      <c r="B595" s="99">
        <v>7.05908854E8</v>
      </c>
      <c r="C595" s="99" t="s">
        <v>2387</v>
      </c>
    </row>
    <row r="596">
      <c r="A596" s="99" t="s">
        <v>2810</v>
      </c>
      <c r="B596" s="99">
        <v>7.04609558E8</v>
      </c>
      <c r="C596" s="99" t="s">
        <v>2416</v>
      </c>
    </row>
    <row r="597">
      <c r="A597" s="99" t="s">
        <v>2811</v>
      </c>
      <c r="B597" s="99">
        <v>7.74515495E8</v>
      </c>
      <c r="C597" s="99" t="s">
        <v>2416</v>
      </c>
    </row>
    <row r="598">
      <c r="A598" s="99" t="s">
        <v>2812</v>
      </c>
      <c r="B598" s="99">
        <v>7.72978798E8</v>
      </c>
      <c r="C598" s="99" t="s">
        <v>2416</v>
      </c>
    </row>
    <row r="599">
      <c r="A599" s="99" t="s">
        <v>2813</v>
      </c>
      <c r="B599" s="99">
        <v>7.72553245E8</v>
      </c>
      <c r="C599" s="99" t="s">
        <v>2416</v>
      </c>
    </row>
    <row r="600">
      <c r="A600" s="99" t="s">
        <v>2814</v>
      </c>
      <c r="B600" s="99">
        <v>7.72174872E8</v>
      </c>
      <c r="C600" s="99" t="s">
        <v>2486</v>
      </c>
    </row>
    <row r="601">
      <c r="A601" s="99" t="s">
        <v>2815</v>
      </c>
      <c r="B601" s="99">
        <v>7.73831832E8</v>
      </c>
      <c r="C601" s="99" t="s">
        <v>2486</v>
      </c>
    </row>
    <row r="602">
      <c r="A602" s="99" t="s">
        <v>2816</v>
      </c>
      <c r="B602" s="99">
        <v>7.05664947E8</v>
      </c>
      <c r="C602" s="99" t="s">
        <v>2486</v>
      </c>
    </row>
    <row r="603">
      <c r="A603" s="99" t="s">
        <v>2817</v>
      </c>
      <c r="B603" s="99">
        <v>7.05373968E8</v>
      </c>
      <c r="C603" s="99" t="s">
        <v>2486</v>
      </c>
    </row>
    <row r="604">
      <c r="A604" s="99" t="s">
        <v>2818</v>
      </c>
      <c r="B604" s="99">
        <v>7.60248925E8</v>
      </c>
      <c r="C604" s="99" t="s">
        <v>2486</v>
      </c>
    </row>
    <row r="605">
      <c r="A605" s="99" t="s">
        <v>2819</v>
      </c>
      <c r="B605" s="99">
        <v>7.79939847E8</v>
      </c>
      <c r="C605" s="99" t="s">
        <v>2486</v>
      </c>
    </row>
    <row r="606">
      <c r="A606" s="99" t="s">
        <v>2820</v>
      </c>
      <c r="B606" s="99">
        <v>7.85758796E8</v>
      </c>
      <c r="C606" s="99" t="s">
        <v>2486</v>
      </c>
    </row>
    <row r="607">
      <c r="A607" s="99" t="s">
        <v>2821</v>
      </c>
      <c r="B607" s="99">
        <v>7.74321717E8</v>
      </c>
      <c r="C607" s="99" t="s">
        <v>2486</v>
      </c>
    </row>
    <row r="608">
      <c r="A608" s="99" t="s">
        <v>2822</v>
      </c>
      <c r="B608" s="99">
        <v>7.59111701E8</v>
      </c>
      <c r="C608" s="99" t="s">
        <v>2486</v>
      </c>
    </row>
    <row r="609">
      <c r="A609" s="99" t="s">
        <v>2823</v>
      </c>
      <c r="B609" s="99">
        <v>7.77120463E8</v>
      </c>
      <c r="C609" s="99" t="s">
        <v>2486</v>
      </c>
    </row>
    <row r="610">
      <c r="A610" s="99" t="s">
        <v>2824</v>
      </c>
      <c r="B610" s="99">
        <v>7.86702102E8</v>
      </c>
      <c r="C610" s="99" t="s">
        <v>2486</v>
      </c>
    </row>
    <row r="611">
      <c r="A611" s="99" t="s">
        <v>2825</v>
      </c>
      <c r="B611" s="99">
        <v>7.72432397E8</v>
      </c>
      <c r="C611" s="99" t="s">
        <v>2488</v>
      </c>
    </row>
    <row r="612">
      <c r="A612" s="99" t="s">
        <v>2826</v>
      </c>
      <c r="B612" s="99">
        <v>7.05743113E8</v>
      </c>
      <c r="C612" s="99" t="s">
        <v>2488</v>
      </c>
    </row>
    <row r="613">
      <c r="A613" s="99" t="s">
        <v>2827</v>
      </c>
      <c r="B613" s="99">
        <v>7.57207205E8</v>
      </c>
      <c r="C613" s="99" t="s">
        <v>2486</v>
      </c>
    </row>
    <row r="614">
      <c r="A614" s="99" t="s">
        <v>2828</v>
      </c>
      <c r="B614" s="99">
        <v>7.06769184E8</v>
      </c>
      <c r="C614" s="99" t="s">
        <v>2488</v>
      </c>
    </row>
    <row r="615">
      <c r="A615" s="99" t="s">
        <v>2829</v>
      </c>
      <c r="B615" s="99">
        <v>7.74814993E8</v>
      </c>
      <c r="C615" s="99" t="s">
        <v>2488</v>
      </c>
    </row>
    <row r="616">
      <c r="A616" s="99" t="s">
        <v>2830</v>
      </c>
      <c r="B616" s="99">
        <v>7.72921484E8</v>
      </c>
      <c r="C616" s="99" t="s">
        <v>2488</v>
      </c>
    </row>
    <row r="617">
      <c r="A617" s="99" t="s">
        <v>2831</v>
      </c>
      <c r="B617" s="99">
        <v>7.72860659E8</v>
      </c>
      <c r="C617" s="99" t="s">
        <v>2488</v>
      </c>
    </row>
    <row r="618">
      <c r="A618" s="99" t="s">
        <v>2832</v>
      </c>
      <c r="B618" s="99">
        <v>7.76166333E8</v>
      </c>
      <c r="C618" s="99" t="s">
        <v>2488</v>
      </c>
    </row>
    <row r="619">
      <c r="A619" s="99" t="s">
        <v>2833</v>
      </c>
      <c r="B619" s="99">
        <v>7.87347574E8</v>
      </c>
      <c r="C619" s="99" t="s">
        <v>2488</v>
      </c>
    </row>
    <row r="620">
      <c r="A620" s="99" t="s">
        <v>2834</v>
      </c>
      <c r="B620" s="99">
        <v>7.02755794E8</v>
      </c>
      <c r="C620" s="99" t="s">
        <v>2488</v>
      </c>
    </row>
    <row r="621">
      <c r="A621" s="99" t="s">
        <v>2835</v>
      </c>
      <c r="B621" s="99">
        <v>7.7481638E8</v>
      </c>
      <c r="C621" s="99" t="s">
        <v>2488</v>
      </c>
    </row>
    <row r="622">
      <c r="A622" s="99" t="s">
        <v>2836</v>
      </c>
      <c r="B622" s="99">
        <v>7.7988054E8</v>
      </c>
      <c r="C622" s="99" t="s">
        <v>2488</v>
      </c>
    </row>
    <row r="623">
      <c r="A623" s="99" t="s">
        <v>2837</v>
      </c>
      <c r="B623" s="99">
        <v>7.78954934E8</v>
      </c>
      <c r="C623" s="99" t="s">
        <v>2488</v>
      </c>
    </row>
    <row r="624">
      <c r="A624" s="99" t="s">
        <v>2838</v>
      </c>
      <c r="B624" s="99">
        <v>7.85604891E8</v>
      </c>
      <c r="C624" s="99" t="s">
        <v>2488</v>
      </c>
    </row>
    <row r="625">
      <c r="A625" s="99" t="s">
        <v>2839</v>
      </c>
      <c r="B625" s="99">
        <v>7.05550029E8</v>
      </c>
      <c r="C625" s="99" t="s">
        <v>2486</v>
      </c>
    </row>
    <row r="626">
      <c r="A626" s="99" t="s">
        <v>2840</v>
      </c>
      <c r="B626" s="99">
        <v>7.04302533E8</v>
      </c>
      <c r="C626" s="99" t="s">
        <v>2486</v>
      </c>
    </row>
    <row r="627">
      <c r="A627" s="99" t="s">
        <v>2841</v>
      </c>
      <c r="B627" s="99">
        <v>7.03274117E8</v>
      </c>
      <c r="C627" s="99" t="s">
        <v>2486</v>
      </c>
    </row>
    <row r="628">
      <c r="A628" s="99" t="s">
        <v>2842</v>
      </c>
      <c r="B628" s="99">
        <v>7.72492918E8</v>
      </c>
      <c r="C628" s="99" t="s">
        <v>2486</v>
      </c>
    </row>
    <row r="629">
      <c r="A629" s="99" t="s">
        <v>2843</v>
      </c>
      <c r="B629" s="99">
        <v>7.73503827E8</v>
      </c>
      <c r="C629" s="99" t="s">
        <v>2486</v>
      </c>
    </row>
    <row r="630">
      <c r="A630" s="99" t="s">
        <v>2844</v>
      </c>
      <c r="B630" s="99">
        <v>7.73459094E8</v>
      </c>
      <c r="C630" s="99" t="s">
        <v>2486</v>
      </c>
    </row>
    <row r="631">
      <c r="A631" s="99" t="s">
        <v>2845</v>
      </c>
      <c r="B631" s="99">
        <v>7.8784618E8</v>
      </c>
      <c r="C631" s="99" t="s">
        <v>2486</v>
      </c>
    </row>
    <row r="632">
      <c r="A632" s="99" t="s">
        <v>2846</v>
      </c>
      <c r="B632" s="99">
        <v>7.7294932E8</v>
      </c>
      <c r="C632" s="99" t="s">
        <v>2486</v>
      </c>
    </row>
    <row r="633">
      <c r="A633" s="99" t="s">
        <v>2847</v>
      </c>
      <c r="B633" s="99">
        <v>7.0177001E8</v>
      </c>
      <c r="C633" s="99" t="s">
        <v>2486</v>
      </c>
    </row>
    <row r="634">
      <c r="A634" s="99" t="s">
        <v>2848</v>
      </c>
      <c r="B634" s="99">
        <v>7.0028519E8</v>
      </c>
      <c r="C634" s="99" t="s">
        <v>2486</v>
      </c>
    </row>
    <row r="635">
      <c r="A635" s="99" t="s">
        <v>2849</v>
      </c>
      <c r="B635" s="99">
        <v>7.58770138E8</v>
      </c>
      <c r="C635" s="99" t="s">
        <v>2486</v>
      </c>
    </row>
    <row r="636">
      <c r="A636" s="99" t="s">
        <v>2850</v>
      </c>
      <c r="B636" s="99">
        <v>7.72954509E8</v>
      </c>
      <c r="C636" s="99" t="s">
        <v>2486</v>
      </c>
    </row>
    <row r="637">
      <c r="A637" s="99" t="s">
        <v>2851</v>
      </c>
      <c r="B637" s="99">
        <v>7.74271903E8</v>
      </c>
      <c r="C637" s="99" t="s">
        <v>2486</v>
      </c>
    </row>
    <row r="638">
      <c r="A638" s="99" t="s">
        <v>2852</v>
      </c>
      <c r="B638" s="99">
        <v>7.82504836E8</v>
      </c>
      <c r="C638" s="99" t="s">
        <v>2486</v>
      </c>
    </row>
    <row r="639">
      <c r="A639" s="99" t="s">
        <v>2853</v>
      </c>
      <c r="B639" s="99">
        <v>7.00484483E8</v>
      </c>
      <c r="C639" s="99" t="s">
        <v>2486</v>
      </c>
    </row>
    <row r="640">
      <c r="A640" s="99" t="s">
        <v>2854</v>
      </c>
      <c r="B640" s="99">
        <v>7.04484483E8</v>
      </c>
      <c r="C640" s="99" t="s">
        <v>2488</v>
      </c>
    </row>
    <row r="641">
      <c r="A641" s="99" t="s">
        <v>2855</v>
      </c>
      <c r="B641" s="99">
        <v>7.84435518E8</v>
      </c>
      <c r="C641" s="99" t="s">
        <v>2486</v>
      </c>
    </row>
    <row r="642">
      <c r="A642" s="99" t="s">
        <v>2856</v>
      </c>
      <c r="B642" s="99">
        <v>7.73580073E8</v>
      </c>
      <c r="C642" s="99" t="s">
        <v>2486</v>
      </c>
    </row>
    <row r="643">
      <c r="A643" s="99" t="s">
        <v>2857</v>
      </c>
      <c r="B643" s="99">
        <v>7.85061255E8</v>
      </c>
      <c r="C643" s="99" t="s">
        <v>2486</v>
      </c>
    </row>
    <row r="644">
      <c r="A644" s="99" t="s">
        <v>2858</v>
      </c>
      <c r="B644" s="99">
        <v>7.72420342E8</v>
      </c>
      <c r="C644" s="99" t="s">
        <v>2486</v>
      </c>
    </row>
    <row r="645">
      <c r="A645" s="99" t="s">
        <v>2859</v>
      </c>
      <c r="B645" s="99">
        <v>7.85624891E8</v>
      </c>
      <c r="C645" s="99" t="s">
        <v>2486</v>
      </c>
    </row>
    <row r="646">
      <c r="A646" s="99" t="s">
        <v>2860</v>
      </c>
      <c r="B646" s="99">
        <v>7.52720502E8</v>
      </c>
      <c r="C646" s="99" t="s">
        <v>2486</v>
      </c>
    </row>
    <row r="647">
      <c r="A647" s="99" t="s">
        <v>2861</v>
      </c>
      <c r="B647" s="99">
        <v>7.55641706E8</v>
      </c>
      <c r="C647" s="99" t="s">
        <v>2486</v>
      </c>
    </row>
    <row r="648">
      <c r="A648" s="99" t="s">
        <v>2862</v>
      </c>
      <c r="B648" s="99">
        <v>7.74067317E8</v>
      </c>
      <c r="C648" s="99" t="s">
        <v>2488</v>
      </c>
    </row>
    <row r="649">
      <c r="A649" s="99" t="s">
        <v>2863</v>
      </c>
      <c r="B649" s="99">
        <v>7.75287125E8</v>
      </c>
      <c r="C649" s="99" t="s">
        <v>2486</v>
      </c>
    </row>
    <row r="650">
      <c r="A650" s="99" t="s">
        <v>2864</v>
      </c>
      <c r="B650" s="99">
        <v>7.79374585E8</v>
      </c>
      <c r="C650" s="99" t="s">
        <v>2486</v>
      </c>
    </row>
    <row r="651">
      <c r="A651" s="99" t="s">
        <v>2865</v>
      </c>
      <c r="B651" s="99">
        <v>7.86700089E8</v>
      </c>
      <c r="C651" s="99" t="s">
        <v>2486</v>
      </c>
    </row>
    <row r="652">
      <c r="A652" s="99" t="s">
        <v>2866</v>
      </c>
      <c r="B652" s="99">
        <v>7.84585406E8</v>
      </c>
      <c r="C652" s="99" t="s">
        <v>2486</v>
      </c>
    </row>
    <row r="653">
      <c r="A653" s="99" t="s">
        <v>2867</v>
      </c>
      <c r="B653" s="99">
        <v>7.87557552E8</v>
      </c>
      <c r="C653" s="99" t="s">
        <v>2486</v>
      </c>
    </row>
    <row r="654">
      <c r="A654" s="99" t="s">
        <v>2868</v>
      </c>
      <c r="B654" s="99">
        <v>7.72435831E8</v>
      </c>
      <c r="C654" s="99" t="s">
        <v>2486</v>
      </c>
    </row>
    <row r="655">
      <c r="A655" s="99" t="s">
        <v>2869</v>
      </c>
      <c r="B655" s="99">
        <v>7.72646942E8</v>
      </c>
      <c r="C655" s="99" t="s">
        <v>2486</v>
      </c>
    </row>
    <row r="656">
      <c r="A656" s="99" t="s">
        <v>2870</v>
      </c>
      <c r="B656" s="99">
        <v>7.87242849E8</v>
      </c>
      <c r="C656" s="99" t="s">
        <v>2486</v>
      </c>
    </row>
    <row r="657">
      <c r="A657" s="99" t="s">
        <v>2871</v>
      </c>
      <c r="B657" s="99">
        <v>7.0459023E8</v>
      </c>
      <c r="C657" s="99" t="s">
        <v>2486</v>
      </c>
    </row>
    <row r="658">
      <c r="A658" s="99" t="s">
        <v>2872</v>
      </c>
      <c r="B658" s="99">
        <v>7.80541328E8</v>
      </c>
      <c r="C658" s="99" t="s">
        <v>2486</v>
      </c>
    </row>
    <row r="659">
      <c r="A659" s="99" t="s">
        <v>2873</v>
      </c>
      <c r="B659" s="99">
        <v>7.82834263E8</v>
      </c>
      <c r="C659" s="99" t="s">
        <v>2486</v>
      </c>
    </row>
    <row r="660">
      <c r="A660" s="99" t="s">
        <v>2874</v>
      </c>
      <c r="B660" s="99">
        <v>7.72919597E8</v>
      </c>
      <c r="C660" s="99" t="s">
        <v>2486</v>
      </c>
    </row>
    <row r="661">
      <c r="A661" s="99" t="s">
        <v>2875</v>
      </c>
      <c r="B661" s="99">
        <v>7.87329558E8</v>
      </c>
      <c r="C661" s="99" t="s">
        <v>2486</v>
      </c>
    </row>
    <row r="662">
      <c r="A662" s="99" t="s">
        <v>2876</v>
      </c>
      <c r="B662" s="99">
        <v>7.72862366E8</v>
      </c>
      <c r="C662" s="99" t="s">
        <v>2486</v>
      </c>
    </row>
    <row r="663">
      <c r="A663" s="99" t="s">
        <v>2877</v>
      </c>
      <c r="B663" s="99">
        <v>7.04021941E8</v>
      </c>
      <c r="C663" s="99" t="s">
        <v>2486</v>
      </c>
    </row>
    <row r="664">
      <c r="A664" s="99" t="s">
        <v>2878</v>
      </c>
      <c r="B664" s="99">
        <v>7.05941969E8</v>
      </c>
      <c r="C664" s="99" t="s">
        <v>2486</v>
      </c>
    </row>
    <row r="665">
      <c r="A665" s="99" t="s">
        <v>2879</v>
      </c>
      <c r="B665" s="99">
        <v>7.06126132E8</v>
      </c>
      <c r="C665" s="99" t="s">
        <v>2488</v>
      </c>
    </row>
    <row r="666">
      <c r="A666" s="99" t="s">
        <v>2880</v>
      </c>
      <c r="B666" s="99">
        <v>7.74349911E8</v>
      </c>
      <c r="C666" s="99" t="s">
        <v>2881</v>
      </c>
    </row>
    <row r="667">
      <c r="A667" s="99" t="s">
        <v>2882</v>
      </c>
      <c r="B667" s="99">
        <v>7.72122694E8</v>
      </c>
      <c r="C667" s="99" t="s">
        <v>2486</v>
      </c>
    </row>
    <row r="668">
      <c r="A668" s="99" t="s">
        <v>2883</v>
      </c>
      <c r="B668" s="99">
        <v>7.05187622E8</v>
      </c>
      <c r="C668" s="99" t="s">
        <v>2486</v>
      </c>
    </row>
    <row r="669">
      <c r="A669" s="99" t="s">
        <v>2884</v>
      </c>
      <c r="B669" s="99">
        <v>7.06092592E8</v>
      </c>
      <c r="C669" s="99" t="s">
        <v>2486</v>
      </c>
    </row>
    <row r="670">
      <c r="A670" s="99" t="s">
        <v>2885</v>
      </c>
      <c r="B670" s="99">
        <v>7.05322028E8</v>
      </c>
      <c r="C670" s="99" t="s">
        <v>2486</v>
      </c>
    </row>
    <row r="671">
      <c r="A671" s="99" t="s">
        <v>2886</v>
      </c>
      <c r="B671" s="99">
        <v>7.76409769E8</v>
      </c>
      <c r="C671" s="99" t="s">
        <v>2488</v>
      </c>
    </row>
    <row r="672">
      <c r="A672" s="99" t="s">
        <v>2887</v>
      </c>
      <c r="B672" s="99">
        <v>7.08054952E8</v>
      </c>
      <c r="C672" s="99" t="s">
        <v>2488</v>
      </c>
    </row>
    <row r="673">
      <c r="A673" s="99" t="s">
        <v>2888</v>
      </c>
      <c r="B673" s="99">
        <v>7.06606392E8</v>
      </c>
      <c r="C673" s="99" t="s">
        <v>2881</v>
      </c>
    </row>
    <row r="674">
      <c r="A674" s="99" t="s">
        <v>2889</v>
      </c>
      <c r="B674" s="99">
        <v>7.72559005E8</v>
      </c>
      <c r="C674" s="99" t="s">
        <v>2881</v>
      </c>
    </row>
    <row r="675">
      <c r="A675" s="99" t="s">
        <v>2890</v>
      </c>
      <c r="B675" s="99">
        <v>7.85217653E8</v>
      </c>
      <c r="C675" s="99" t="s">
        <v>2881</v>
      </c>
    </row>
    <row r="676">
      <c r="A676" s="99" t="s">
        <v>2891</v>
      </c>
      <c r="B676" s="99">
        <v>7.84280356E8</v>
      </c>
      <c r="C676" s="99" t="s">
        <v>2881</v>
      </c>
    </row>
    <row r="677">
      <c r="A677" s="99" t="s">
        <v>2892</v>
      </c>
      <c r="B677" s="99">
        <v>7.72893473E8</v>
      </c>
      <c r="C677" s="99" t="s">
        <v>2881</v>
      </c>
    </row>
    <row r="678">
      <c r="A678" s="99" t="s">
        <v>2893</v>
      </c>
      <c r="B678" s="99">
        <v>7.82124249E8</v>
      </c>
      <c r="C678" s="99" t="s">
        <v>2881</v>
      </c>
    </row>
    <row r="679">
      <c r="A679" s="99" t="s">
        <v>2894</v>
      </c>
      <c r="B679" s="99">
        <v>7.72552384E8</v>
      </c>
      <c r="C679" s="99" t="s">
        <v>2881</v>
      </c>
    </row>
    <row r="680">
      <c r="A680" s="99" t="s">
        <v>2895</v>
      </c>
      <c r="B680" s="99">
        <v>7.72760504E8</v>
      </c>
      <c r="C680" s="99" t="s">
        <v>2881</v>
      </c>
    </row>
    <row r="681">
      <c r="A681" s="99" t="s">
        <v>121</v>
      </c>
      <c r="B681" s="99">
        <v>7.02925274E8</v>
      </c>
      <c r="C681" s="99" t="s">
        <v>2881</v>
      </c>
    </row>
    <row r="682">
      <c r="A682" s="99" t="s">
        <v>2896</v>
      </c>
      <c r="B682" s="99">
        <v>7.74344352E8</v>
      </c>
      <c r="C682" s="99" t="s">
        <v>2881</v>
      </c>
    </row>
    <row r="683">
      <c r="A683" s="99" t="s">
        <v>2897</v>
      </c>
      <c r="B683" s="99">
        <v>7.72628125E8</v>
      </c>
      <c r="C683" s="99" t="s">
        <v>2881</v>
      </c>
    </row>
    <row r="684">
      <c r="A684" s="99" t="s">
        <v>2898</v>
      </c>
      <c r="B684" s="99">
        <v>7.739004E8</v>
      </c>
      <c r="C684" s="99" t="s">
        <v>2881</v>
      </c>
    </row>
    <row r="685">
      <c r="A685" s="99" t="s">
        <v>2899</v>
      </c>
      <c r="B685" s="99">
        <v>7.78957E8</v>
      </c>
      <c r="C685" s="99" t="s">
        <v>2881</v>
      </c>
    </row>
    <row r="686">
      <c r="A686" s="99" t="s">
        <v>2900</v>
      </c>
      <c r="B686" s="99">
        <v>7.7607658E8</v>
      </c>
      <c r="C686" s="99" t="s">
        <v>2881</v>
      </c>
    </row>
    <row r="687">
      <c r="A687" s="99" t="s">
        <v>2901</v>
      </c>
      <c r="B687" s="99">
        <v>7.75888624E8</v>
      </c>
      <c r="C687" s="99" t="s">
        <v>2881</v>
      </c>
    </row>
    <row r="688">
      <c r="A688" s="99" t="s">
        <v>2902</v>
      </c>
      <c r="B688" s="99">
        <v>7.89610014E8</v>
      </c>
      <c r="C688" s="99" t="s">
        <v>2881</v>
      </c>
    </row>
    <row r="689">
      <c r="A689" s="99" t="s">
        <v>2903</v>
      </c>
      <c r="B689" s="99">
        <v>7.72499167E8</v>
      </c>
      <c r="C689" s="99" t="s">
        <v>2881</v>
      </c>
    </row>
    <row r="690">
      <c r="A690" s="99" t="s">
        <v>2904</v>
      </c>
      <c r="B690" s="99">
        <v>7.74201905E8</v>
      </c>
      <c r="C690" s="99" t="s">
        <v>2881</v>
      </c>
    </row>
    <row r="691">
      <c r="A691" s="99" t="s">
        <v>2905</v>
      </c>
      <c r="B691" s="99">
        <v>7.55250179E8</v>
      </c>
      <c r="C691" s="99" t="s">
        <v>2881</v>
      </c>
    </row>
    <row r="692">
      <c r="A692" s="99" t="s">
        <v>2906</v>
      </c>
      <c r="B692" s="99">
        <v>7.59761585E8</v>
      </c>
      <c r="C692" s="99" t="s">
        <v>2881</v>
      </c>
    </row>
    <row r="693">
      <c r="A693" s="99" t="s">
        <v>2907</v>
      </c>
      <c r="B693" s="99">
        <v>7.80393598E8</v>
      </c>
      <c r="C693" s="99" t="s">
        <v>2881</v>
      </c>
    </row>
    <row r="694">
      <c r="A694" s="99" t="s">
        <v>2908</v>
      </c>
      <c r="B694" s="99">
        <v>7.02753511E8</v>
      </c>
      <c r="C694" s="99" t="s">
        <v>2881</v>
      </c>
    </row>
    <row r="695">
      <c r="A695" s="99" t="s">
        <v>2909</v>
      </c>
      <c r="B695" s="99">
        <v>7.72543979E8</v>
      </c>
      <c r="C695" s="99" t="s">
        <v>2881</v>
      </c>
    </row>
    <row r="696">
      <c r="A696" s="99" t="s">
        <v>2910</v>
      </c>
      <c r="B696" s="99">
        <v>7.51086742E8</v>
      </c>
      <c r="C696" s="99" t="s">
        <v>2881</v>
      </c>
    </row>
    <row r="697">
      <c r="A697" s="99" t="s">
        <v>2911</v>
      </c>
      <c r="B697" s="99">
        <v>7.75186742E8</v>
      </c>
      <c r="C697" s="99" t="s">
        <v>2881</v>
      </c>
    </row>
    <row r="698">
      <c r="A698" s="99" t="s">
        <v>2912</v>
      </c>
      <c r="B698" s="99">
        <v>7.71882407E8</v>
      </c>
      <c r="C698" s="99" t="s">
        <v>2881</v>
      </c>
    </row>
    <row r="699">
      <c r="A699" s="99" t="s">
        <v>2913</v>
      </c>
      <c r="B699" s="99">
        <v>7.72414019E8</v>
      </c>
      <c r="C699" s="99" t="s">
        <v>2881</v>
      </c>
    </row>
    <row r="700">
      <c r="A700" s="99" t="s">
        <v>2914</v>
      </c>
      <c r="B700" s="99">
        <v>7.85314449E8</v>
      </c>
      <c r="C700" s="99" t="s">
        <v>2248</v>
      </c>
    </row>
    <row r="701">
      <c r="A701" s="99" t="s">
        <v>2915</v>
      </c>
      <c r="B701" s="99">
        <v>7.06735348E8</v>
      </c>
      <c r="C701" s="99" t="s">
        <v>2248</v>
      </c>
    </row>
    <row r="702">
      <c r="A702" s="99" t="s">
        <v>2916</v>
      </c>
      <c r="B702" s="99">
        <v>7.80630246E8</v>
      </c>
      <c r="C702" s="99" t="s">
        <v>2248</v>
      </c>
    </row>
    <row r="703">
      <c r="A703" s="99" t="s">
        <v>2917</v>
      </c>
      <c r="B703" s="99">
        <v>7.53264055E8</v>
      </c>
      <c r="C703" s="99" t="s">
        <v>2248</v>
      </c>
    </row>
    <row r="704">
      <c r="A704" s="99" t="s">
        <v>2918</v>
      </c>
      <c r="B704" s="99">
        <v>7.72911425E8</v>
      </c>
      <c r="C704" s="99" t="s">
        <v>2248</v>
      </c>
    </row>
    <row r="705">
      <c r="A705" s="99" t="s">
        <v>2919</v>
      </c>
      <c r="B705" s="99">
        <v>7.72949061E8</v>
      </c>
      <c r="C705" s="99" t="s">
        <v>2248</v>
      </c>
    </row>
    <row r="706">
      <c r="A706" s="99" t="s">
        <v>2920</v>
      </c>
      <c r="B706" s="99">
        <v>7.83377859E8</v>
      </c>
      <c r="C706" s="99" t="s">
        <v>2248</v>
      </c>
    </row>
    <row r="707">
      <c r="A707" s="99" t="s">
        <v>2921</v>
      </c>
      <c r="B707" s="99">
        <v>7.71227038E8</v>
      </c>
      <c r="C707" s="99" t="s">
        <v>2248</v>
      </c>
    </row>
    <row r="708">
      <c r="A708" s="99" t="s">
        <v>2922</v>
      </c>
      <c r="B708" s="99">
        <v>7.74811242E8</v>
      </c>
      <c r="C708" s="99" t="s">
        <v>2248</v>
      </c>
    </row>
    <row r="709">
      <c r="A709" s="99" t="s">
        <v>2923</v>
      </c>
      <c r="B709" s="99">
        <v>7.04912925E8</v>
      </c>
      <c r="C709" s="99" t="s">
        <v>2248</v>
      </c>
    </row>
    <row r="710">
      <c r="A710" s="99" t="s">
        <v>2924</v>
      </c>
      <c r="B710" s="99">
        <v>7.8227004E8</v>
      </c>
      <c r="C710" s="99" t="s">
        <v>2248</v>
      </c>
    </row>
    <row r="711">
      <c r="A711" s="99" t="s">
        <v>2925</v>
      </c>
      <c r="B711" s="99">
        <v>7.05900491E8</v>
      </c>
      <c r="C711" s="99" t="s">
        <v>2248</v>
      </c>
    </row>
    <row r="712">
      <c r="A712" s="99" t="s">
        <v>2926</v>
      </c>
      <c r="B712" s="99">
        <v>7.77470339E8</v>
      </c>
      <c r="C712" s="99" t="s">
        <v>2248</v>
      </c>
    </row>
    <row r="713">
      <c r="A713" s="99" t="s">
        <v>2927</v>
      </c>
      <c r="B713" s="99">
        <v>7.04887538E8</v>
      </c>
      <c r="C713" s="99" t="s">
        <v>2248</v>
      </c>
    </row>
    <row r="714">
      <c r="A714" s="99" t="s">
        <v>2928</v>
      </c>
      <c r="B714" s="99">
        <v>7.81274708E8</v>
      </c>
      <c r="C714" s="99" t="s">
        <v>2248</v>
      </c>
    </row>
    <row r="715">
      <c r="A715" s="99" t="s">
        <v>2929</v>
      </c>
      <c r="B715" s="99">
        <v>7.74344055E8</v>
      </c>
      <c r="C715" s="99" t="s">
        <v>2248</v>
      </c>
    </row>
    <row r="716">
      <c r="A716" s="99" t="s">
        <v>2930</v>
      </c>
      <c r="B716" s="99">
        <v>7.88992687E8</v>
      </c>
      <c r="C716" s="99" t="s">
        <v>2248</v>
      </c>
    </row>
    <row r="717">
      <c r="A717" s="99" t="s">
        <v>2931</v>
      </c>
      <c r="B717" s="99">
        <v>7.51705369E8</v>
      </c>
      <c r="C717" s="99" t="s">
        <v>2248</v>
      </c>
    </row>
    <row r="718">
      <c r="A718" s="99" t="s">
        <v>2932</v>
      </c>
      <c r="B718" s="99">
        <v>7.52860014E8</v>
      </c>
      <c r="C718" s="99" t="s">
        <v>2530</v>
      </c>
    </row>
    <row r="719">
      <c r="A719" s="99" t="s">
        <v>2933</v>
      </c>
      <c r="B719" s="99">
        <v>7.79519957E8</v>
      </c>
      <c r="C719" s="99" t="s">
        <v>2486</v>
      </c>
    </row>
    <row r="720">
      <c r="A720" s="99" t="s">
        <v>2934</v>
      </c>
      <c r="B720" s="99">
        <v>7.7679803E8</v>
      </c>
      <c r="C720" s="99" t="s">
        <v>2486</v>
      </c>
    </row>
    <row r="721">
      <c r="A721" s="99" t="s">
        <v>2935</v>
      </c>
      <c r="B721" s="99">
        <v>7.74493356E8</v>
      </c>
      <c r="C721" s="99" t="s">
        <v>2486</v>
      </c>
    </row>
    <row r="722">
      <c r="A722" s="99" t="s">
        <v>2936</v>
      </c>
      <c r="B722" s="99">
        <v>7.73770292E8</v>
      </c>
      <c r="C722" s="99" t="s">
        <v>2486</v>
      </c>
    </row>
    <row r="723">
      <c r="A723" s="99" t="s">
        <v>2937</v>
      </c>
      <c r="B723" s="99">
        <v>7.75503908E8</v>
      </c>
      <c r="C723" s="99" t="s">
        <v>2486</v>
      </c>
    </row>
    <row r="724">
      <c r="A724" s="99" t="s">
        <v>2938</v>
      </c>
      <c r="B724" s="99">
        <v>7.55388085E8</v>
      </c>
      <c r="C724" s="99" t="s">
        <v>2486</v>
      </c>
    </row>
    <row r="725">
      <c r="A725" s="99" t="s">
        <v>2939</v>
      </c>
      <c r="B725" s="99">
        <v>7.86112045E8</v>
      </c>
      <c r="C725" s="99" t="s">
        <v>2486</v>
      </c>
    </row>
    <row r="726">
      <c r="A726" s="99" t="s">
        <v>2940</v>
      </c>
      <c r="B726" s="99">
        <v>7.76706425E8</v>
      </c>
      <c r="C726" s="99" t="s">
        <v>2486</v>
      </c>
    </row>
    <row r="727">
      <c r="A727" s="99" t="s">
        <v>2941</v>
      </c>
      <c r="B727" s="99">
        <v>7.54811811E8</v>
      </c>
      <c r="C727" s="99" t="s">
        <v>2486</v>
      </c>
    </row>
    <row r="728">
      <c r="A728" s="99" t="s">
        <v>2942</v>
      </c>
      <c r="B728" s="99">
        <v>7.59018271E8</v>
      </c>
      <c r="C728" s="99" t="s">
        <v>2488</v>
      </c>
    </row>
    <row r="729">
      <c r="A729" s="99" t="s">
        <v>2943</v>
      </c>
      <c r="B729" s="99">
        <v>7.77180262E8</v>
      </c>
      <c r="C729" s="99" t="s">
        <v>2488</v>
      </c>
    </row>
    <row r="730">
      <c r="A730" s="99" t="s">
        <v>2944</v>
      </c>
      <c r="B730" s="99">
        <v>7.89831099E8</v>
      </c>
      <c r="C730" s="99" t="s">
        <v>2488</v>
      </c>
    </row>
    <row r="731">
      <c r="A731" s="99" t="s">
        <v>2945</v>
      </c>
      <c r="B731" s="99">
        <v>7.71469566E8</v>
      </c>
      <c r="C731" s="99" t="s">
        <v>2946</v>
      </c>
    </row>
    <row r="732">
      <c r="A732" s="99" t="s">
        <v>2947</v>
      </c>
      <c r="B732" s="99">
        <v>7.01844762E8</v>
      </c>
      <c r="C732" s="99" t="s">
        <v>2488</v>
      </c>
    </row>
    <row r="733">
      <c r="A733" s="99" t="s">
        <v>2948</v>
      </c>
      <c r="B733" s="99">
        <v>7.01844762E8</v>
      </c>
      <c r="C733" s="99" t="s">
        <v>2488</v>
      </c>
    </row>
    <row r="734">
      <c r="A734" s="99" t="s">
        <v>2949</v>
      </c>
      <c r="B734" s="99">
        <v>7.01885884E8</v>
      </c>
      <c r="C734" s="99" t="s">
        <v>2488</v>
      </c>
    </row>
    <row r="735">
      <c r="A735" s="99" t="s">
        <v>2950</v>
      </c>
      <c r="B735" s="99">
        <v>7.01201024E8</v>
      </c>
      <c r="C735" s="99" t="s">
        <v>2488</v>
      </c>
    </row>
    <row r="736">
      <c r="A736" s="99" t="s">
        <v>2951</v>
      </c>
      <c r="B736" s="99">
        <v>7.04483427E8</v>
      </c>
      <c r="C736" s="99" t="s">
        <v>2488</v>
      </c>
    </row>
    <row r="737">
      <c r="A737" s="99" t="s">
        <v>2952</v>
      </c>
      <c r="B737" s="99">
        <v>7.75231015E8</v>
      </c>
      <c r="C737" s="99" t="s">
        <v>2486</v>
      </c>
    </row>
    <row r="738">
      <c r="A738" s="99" t="s">
        <v>2953</v>
      </c>
      <c r="B738" s="99">
        <v>7.53047756E8</v>
      </c>
      <c r="C738" s="99" t="s">
        <v>2486</v>
      </c>
    </row>
    <row r="739">
      <c r="A739" s="99" t="s">
        <v>2954</v>
      </c>
      <c r="B739" s="99">
        <v>7.72489362E8</v>
      </c>
      <c r="C739" s="99" t="s">
        <v>2486</v>
      </c>
    </row>
    <row r="740">
      <c r="A740" s="99" t="s">
        <v>2955</v>
      </c>
      <c r="B740" s="99">
        <v>7.72489362E8</v>
      </c>
      <c r="C740" s="99" t="s">
        <v>2486</v>
      </c>
    </row>
    <row r="741">
      <c r="A741" s="99" t="s">
        <v>2956</v>
      </c>
      <c r="B741" s="99">
        <v>7.06495905E8</v>
      </c>
      <c r="C741" s="99" t="s">
        <v>2486</v>
      </c>
    </row>
    <row r="742">
      <c r="A742" s="99" t="s">
        <v>2348</v>
      </c>
      <c r="B742" s="99">
        <v>7.52666331E8</v>
      </c>
      <c r="C742" s="99" t="s">
        <v>2486</v>
      </c>
    </row>
    <row r="743">
      <c r="A743" s="99" t="s">
        <v>2957</v>
      </c>
      <c r="B743" s="99">
        <v>7.83233456E8</v>
      </c>
      <c r="C743" s="99" t="s">
        <v>2486</v>
      </c>
    </row>
    <row r="744">
      <c r="A744" s="99" t="s">
        <v>2958</v>
      </c>
      <c r="B744" s="99">
        <v>7.72861557E8</v>
      </c>
      <c r="C744" s="99" t="s">
        <v>2486</v>
      </c>
    </row>
    <row r="745">
      <c r="A745" s="99" t="s">
        <v>2959</v>
      </c>
      <c r="B745" s="99">
        <v>7.87370047E8</v>
      </c>
      <c r="C745" s="99" t="s">
        <v>2486</v>
      </c>
    </row>
    <row r="746">
      <c r="A746" s="99" t="s">
        <v>2960</v>
      </c>
      <c r="B746" s="99">
        <v>7.72450933E8</v>
      </c>
      <c r="C746" s="99" t="s">
        <v>2486</v>
      </c>
    </row>
    <row r="747">
      <c r="A747" s="99" t="s">
        <v>2961</v>
      </c>
      <c r="B747" s="99">
        <v>7.74777493E8</v>
      </c>
      <c r="C747" s="99" t="s">
        <v>2488</v>
      </c>
    </row>
    <row r="748">
      <c r="A748" s="99" t="s">
        <v>2962</v>
      </c>
      <c r="B748" s="99">
        <v>7.82958272E8</v>
      </c>
      <c r="C748" s="99" t="s">
        <v>2486</v>
      </c>
    </row>
    <row r="749">
      <c r="A749" s="99" t="s">
        <v>2963</v>
      </c>
      <c r="B749" s="99">
        <v>7.02961802E8</v>
      </c>
      <c r="C749" s="99" t="s">
        <v>2486</v>
      </c>
    </row>
    <row r="750">
      <c r="A750" s="99" t="s">
        <v>2964</v>
      </c>
      <c r="B750" s="99">
        <v>7.06980868E8</v>
      </c>
      <c r="C750" s="99" t="s">
        <v>2486</v>
      </c>
    </row>
    <row r="751">
      <c r="A751" s="99" t="s">
        <v>2965</v>
      </c>
      <c r="B751" s="99">
        <v>7.71617155E8</v>
      </c>
      <c r="C751" s="99" t="s">
        <v>2486</v>
      </c>
    </row>
    <row r="752">
      <c r="A752" s="99" t="s">
        <v>2966</v>
      </c>
      <c r="B752" s="99">
        <v>7.71899235E8</v>
      </c>
      <c r="C752" s="99" t="s">
        <v>2488</v>
      </c>
    </row>
    <row r="753">
      <c r="A753" s="99" t="s">
        <v>2967</v>
      </c>
      <c r="B753" s="99">
        <v>7.02809348E8</v>
      </c>
      <c r="C753" s="99" t="s">
        <v>2486</v>
      </c>
    </row>
    <row r="754">
      <c r="A754" s="99" t="s">
        <v>2968</v>
      </c>
      <c r="B754" s="99">
        <v>7.78187902E8</v>
      </c>
      <c r="C754" s="99" t="s">
        <v>2488</v>
      </c>
    </row>
    <row r="755">
      <c r="A755" s="99" t="s">
        <v>2969</v>
      </c>
      <c r="B755" s="99">
        <v>7.01075218E8</v>
      </c>
      <c r="C755" s="99" t="s">
        <v>2488</v>
      </c>
    </row>
    <row r="756">
      <c r="A756" s="99" t="s">
        <v>2970</v>
      </c>
      <c r="B756" s="99">
        <v>7.72200682E8</v>
      </c>
      <c r="C756" s="99" t="s">
        <v>2488</v>
      </c>
    </row>
    <row r="757">
      <c r="A757" s="99" t="s">
        <v>2971</v>
      </c>
      <c r="B757" s="99">
        <v>7.72424227E8</v>
      </c>
      <c r="C757" s="99" t="s">
        <v>2488</v>
      </c>
    </row>
    <row r="758">
      <c r="A758" s="99" t="s">
        <v>2972</v>
      </c>
      <c r="B758" s="99">
        <v>7.84880507E8</v>
      </c>
      <c r="C758" s="99" t="s">
        <v>2387</v>
      </c>
    </row>
    <row r="759">
      <c r="A759" s="99" t="s">
        <v>2973</v>
      </c>
      <c r="B759" s="99">
        <v>7.72948383E8</v>
      </c>
      <c r="C759" s="99" t="s">
        <v>2387</v>
      </c>
    </row>
    <row r="760">
      <c r="A760" s="99" t="s">
        <v>2974</v>
      </c>
      <c r="B760" s="99">
        <v>7.82375354E8</v>
      </c>
      <c r="C760" s="99" t="s">
        <v>2387</v>
      </c>
    </row>
    <row r="761">
      <c r="A761" s="99" t="s">
        <v>2975</v>
      </c>
      <c r="B761" s="99">
        <v>7.05200545E8</v>
      </c>
      <c r="C761" s="99" t="s">
        <v>2387</v>
      </c>
    </row>
    <row r="762">
      <c r="A762" s="99" t="s">
        <v>2976</v>
      </c>
      <c r="B762" s="99">
        <v>7.82375354E8</v>
      </c>
      <c r="C762" s="99" t="s">
        <v>2387</v>
      </c>
    </row>
    <row r="763">
      <c r="A763" s="99" t="s">
        <v>2977</v>
      </c>
      <c r="B763" s="99">
        <v>7.79730655E8</v>
      </c>
      <c r="C763" s="99" t="s">
        <v>2387</v>
      </c>
    </row>
    <row r="764">
      <c r="A764" s="99" t="s">
        <v>2978</v>
      </c>
      <c r="B764" s="99">
        <v>7.77634349E8</v>
      </c>
      <c r="C764" s="99" t="s">
        <v>2387</v>
      </c>
    </row>
    <row r="765">
      <c r="A765" s="99" t="s">
        <v>2979</v>
      </c>
      <c r="B765" s="99">
        <v>7.76628123E8</v>
      </c>
      <c r="C765" s="99" t="s">
        <v>2416</v>
      </c>
    </row>
    <row r="766">
      <c r="A766" s="99" t="s">
        <v>2980</v>
      </c>
      <c r="B766" s="99">
        <v>7.81362231E8</v>
      </c>
    </row>
    <row r="767">
      <c r="A767" s="99" t="s">
        <v>264</v>
      </c>
      <c r="B767" s="99">
        <v>7.73367463E8</v>
      </c>
      <c r="C767" s="99" t="s">
        <v>2387</v>
      </c>
    </row>
    <row r="768">
      <c r="A768" s="99" t="s">
        <v>2981</v>
      </c>
      <c r="B768" s="99">
        <v>7.82877613E8</v>
      </c>
      <c r="C768" s="99" t="s">
        <v>2387</v>
      </c>
    </row>
    <row r="769">
      <c r="A769" s="99" t="s">
        <v>2982</v>
      </c>
      <c r="B769" s="99">
        <v>7.01345874E8</v>
      </c>
      <c r="C769" s="99" t="s">
        <v>2387</v>
      </c>
    </row>
    <row r="770">
      <c r="A770" s="99" t="s">
        <v>2983</v>
      </c>
      <c r="B770" s="99">
        <v>7.78061258E8</v>
      </c>
      <c r="C770" s="99" t="s">
        <v>2416</v>
      </c>
    </row>
    <row r="771">
      <c r="A771" s="99" t="s">
        <v>2984</v>
      </c>
      <c r="B771" s="99">
        <v>7.73851852E8</v>
      </c>
      <c r="C771" s="99" t="s">
        <v>2387</v>
      </c>
    </row>
    <row r="772">
      <c r="A772" s="99" t="s">
        <v>2985</v>
      </c>
      <c r="B772" s="99">
        <v>7.72652124E8</v>
      </c>
      <c r="C772" s="99" t="s">
        <v>2416</v>
      </c>
    </row>
    <row r="773">
      <c r="A773" s="99" t="s">
        <v>2986</v>
      </c>
      <c r="B773" s="99">
        <v>7.54670473E8</v>
      </c>
      <c r="C773" s="99" t="s">
        <v>2486</v>
      </c>
    </row>
    <row r="774">
      <c r="A774" s="99" t="s">
        <v>2987</v>
      </c>
      <c r="B774" s="99">
        <v>7.98451242E8</v>
      </c>
      <c r="C774" s="99" t="s">
        <v>2488</v>
      </c>
    </row>
    <row r="775">
      <c r="A775" s="99" t="s">
        <v>2988</v>
      </c>
      <c r="B775" s="99">
        <v>7.57000008E8</v>
      </c>
      <c r="C775" s="99" t="s">
        <v>2488</v>
      </c>
    </row>
    <row r="776">
      <c r="A776" s="99" t="s">
        <v>2989</v>
      </c>
      <c r="B776" s="99">
        <v>7.57326155E8</v>
      </c>
      <c r="C776" s="99" t="s">
        <v>2488</v>
      </c>
    </row>
    <row r="777">
      <c r="A777" s="99" t="s">
        <v>2990</v>
      </c>
      <c r="B777" s="99">
        <v>7.0413285E8</v>
      </c>
      <c r="C777" s="99" t="s">
        <v>2416</v>
      </c>
    </row>
    <row r="778">
      <c r="A778" s="99" t="s">
        <v>2991</v>
      </c>
      <c r="B778" s="99">
        <v>7.04695339E8</v>
      </c>
      <c r="C778" s="99" t="s">
        <v>2488</v>
      </c>
    </row>
    <row r="779">
      <c r="A779" s="99" t="s">
        <v>2992</v>
      </c>
      <c r="B779" s="99">
        <v>7.80237684E8</v>
      </c>
      <c r="C779" s="99" t="s">
        <v>2416</v>
      </c>
    </row>
    <row r="780">
      <c r="A780" s="99" t="s">
        <v>2993</v>
      </c>
      <c r="B780" s="99">
        <v>7.85750623E8</v>
      </c>
      <c r="C780" s="99" t="s">
        <v>2416</v>
      </c>
    </row>
    <row r="781">
      <c r="A781" s="99" t="s">
        <v>2994</v>
      </c>
      <c r="B781" s="99">
        <v>7.866679655E9</v>
      </c>
      <c r="C781" s="99" t="s">
        <v>2486</v>
      </c>
    </row>
    <row r="782">
      <c r="A782" s="99" t="s">
        <v>2995</v>
      </c>
      <c r="B782" s="99">
        <v>7.82056754E8</v>
      </c>
      <c r="C782" s="99" t="s">
        <v>2486</v>
      </c>
    </row>
    <row r="783">
      <c r="A783" s="99" t="s">
        <v>2996</v>
      </c>
      <c r="B783" s="99">
        <v>7.72323992E8</v>
      </c>
      <c r="C783" s="99" t="s">
        <v>2486</v>
      </c>
    </row>
    <row r="784">
      <c r="A784" s="99" t="s">
        <v>2997</v>
      </c>
      <c r="B784" s="99">
        <v>7.82210801E8</v>
      </c>
      <c r="C784" s="99" t="s">
        <v>2486</v>
      </c>
    </row>
    <row r="785">
      <c r="A785" s="99" t="s">
        <v>2998</v>
      </c>
      <c r="B785" s="99">
        <v>7.87191676E8</v>
      </c>
      <c r="C785" s="99" t="s">
        <v>2486</v>
      </c>
    </row>
    <row r="786">
      <c r="A786" s="99" t="s">
        <v>2999</v>
      </c>
      <c r="B786" s="99">
        <v>7.87002708E8</v>
      </c>
      <c r="C786" s="99" t="s">
        <v>2486</v>
      </c>
    </row>
    <row r="787">
      <c r="A787" s="99" t="s">
        <v>3000</v>
      </c>
      <c r="B787" s="99">
        <v>7.72694391E8</v>
      </c>
      <c r="C787" s="99" t="s">
        <v>2486</v>
      </c>
    </row>
    <row r="788">
      <c r="A788" s="99" t="s">
        <v>3001</v>
      </c>
      <c r="B788" s="99">
        <v>7.72049891E8</v>
      </c>
      <c r="C788" s="99" t="s">
        <v>2486</v>
      </c>
    </row>
    <row r="789">
      <c r="A789" s="99" t="s">
        <v>3002</v>
      </c>
      <c r="B789" s="99">
        <v>7.57761509E8</v>
      </c>
      <c r="C789" s="99" t="s">
        <v>2486</v>
      </c>
    </row>
    <row r="790">
      <c r="A790" s="99" t="s">
        <v>3003</v>
      </c>
      <c r="B790" s="99">
        <v>7.75063027E8</v>
      </c>
      <c r="C790" s="99" t="s">
        <v>2486</v>
      </c>
    </row>
    <row r="791">
      <c r="A791" s="99" t="s">
        <v>3004</v>
      </c>
      <c r="B791" s="99">
        <v>7.58346932E8</v>
      </c>
      <c r="C791" s="99" t="s">
        <v>2488</v>
      </c>
    </row>
    <row r="792">
      <c r="A792" s="99" t="s">
        <v>3005</v>
      </c>
      <c r="B792" s="99">
        <v>7.73490881E8</v>
      </c>
      <c r="C792" s="99" t="s">
        <v>2488</v>
      </c>
    </row>
    <row r="793">
      <c r="A793" s="99" t="s">
        <v>3006</v>
      </c>
      <c r="B793" s="99">
        <v>7.04533823E8</v>
      </c>
      <c r="C793" s="99" t="s">
        <v>2416</v>
      </c>
    </row>
    <row r="794">
      <c r="A794" s="99" t="s">
        <v>3007</v>
      </c>
      <c r="B794" s="99">
        <v>7.81900017E8</v>
      </c>
      <c r="C794" s="99" t="s">
        <v>2416</v>
      </c>
    </row>
    <row r="795">
      <c r="A795" s="99" t="s">
        <v>3008</v>
      </c>
      <c r="B795" s="99">
        <v>7.74502833E8</v>
      </c>
      <c r="C795" s="99" t="s">
        <v>2416</v>
      </c>
    </row>
    <row r="796">
      <c r="A796" s="99" t="s">
        <v>3009</v>
      </c>
      <c r="B796" s="99">
        <v>7.74167363E8</v>
      </c>
      <c r="C796" s="99" t="s">
        <v>2486</v>
      </c>
    </row>
    <row r="797">
      <c r="A797" s="99" t="s">
        <v>3010</v>
      </c>
      <c r="B797" s="99">
        <v>7.834224E8</v>
      </c>
      <c r="C797" s="99" t="s">
        <v>2486</v>
      </c>
    </row>
    <row r="798">
      <c r="A798" s="99" t="s">
        <v>3011</v>
      </c>
      <c r="B798" s="99">
        <v>7.88744734E8</v>
      </c>
      <c r="C798" s="99" t="s">
        <v>2486</v>
      </c>
    </row>
    <row r="799">
      <c r="A799" s="99" t="s">
        <v>3012</v>
      </c>
      <c r="B799" s="99">
        <v>7.75951883E8</v>
      </c>
      <c r="C799" s="99" t="s">
        <v>2486</v>
      </c>
    </row>
    <row r="800">
      <c r="A800" s="99" t="s">
        <v>3013</v>
      </c>
      <c r="B800" s="99">
        <v>7.74273838E8</v>
      </c>
      <c r="C800" s="99" t="s">
        <v>2486</v>
      </c>
    </row>
    <row r="801">
      <c r="A801" s="99" t="s">
        <v>3014</v>
      </c>
      <c r="B801" s="99">
        <v>7.593122E8</v>
      </c>
      <c r="C801" s="99" t="s">
        <v>2486</v>
      </c>
    </row>
    <row r="802">
      <c r="A802" s="99" t="s">
        <v>3015</v>
      </c>
      <c r="B802" s="99">
        <v>7.74532205E8</v>
      </c>
      <c r="C802" s="99" t="s">
        <v>2486</v>
      </c>
    </row>
    <row r="803">
      <c r="A803" s="99" t="s">
        <v>3016</v>
      </c>
      <c r="B803" s="99">
        <v>7.85456287E8</v>
      </c>
      <c r="C803" s="99" t="s">
        <v>2486</v>
      </c>
    </row>
    <row r="804">
      <c r="A804" s="99" t="s">
        <v>3017</v>
      </c>
      <c r="B804" s="99">
        <v>7.6144549E8</v>
      </c>
      <c r="C804" s="99" t="s">
        <v>2486</v>
      </c>
    </row>
    <row r="805">
      <c r="A805" s="99" t="s">
        <v>3018</v>
      </c>
      <c r="B805" s="99">
        <v>7.88926819E8</v>
      </c>
      <c r="C805" s="99" t="s">
        <v>2486</v>
      </c>
    </row>
    <row r="806">
      <c r="A806" s="99" t="s">
        <v>3019</v>
      </c>
      <c r="B806" s="99">
        <v>7.83300828E8</v>
      </c>
      <c r="C806" s="99" t="s">
        <v>2488</v>
      </c>
    </row>
    <row r="807">
      <c r="A807" s="99" t="s">
        <v>3020</v>
      </c>
      <c r="B807" s="99">
        <v>7.51212791E8</v>
      </c>
      <c r="C807" s="99" t="s">
        <v>2488</v>
      </c>
    </row>
    <row r="808">
      <c r="A808" s="99" t="s">
        <v>3021</v>
      </c>
      <c r="B808" s="99">
        <v>7.82929385E8</v>
      </c>
      <c r="C808" s="99" t="s">
        <v>2486</v>
      </c>
    </row>
    <row r="809">
      <c r="A809" s="99" t="s">
        <v>3022</v>
      </c>
      <c r="B809" s="99">
        <v>7.7525246E8</v>
      </c>
      <c r="C809" s="99" t="s">
        <v>2486</v>
      </c>
    </row>
    <row r="810">
      <c r="A810" s="99" t="s">
        <v>3023</v>
      </c>
      <c r="B810" s="99">
        <v>7.8227524E8</v>
      </c>
      <c r="C810" s="99" t="s">
        <v>2486</v>
      </c>
    </row>
    <row r="811">
      <c r="A811" s="99" t="s">
        <v>3024</v>
      </c>
      <c r="B811" s="99">
        <v>7.77844448E8</v>
      </c>
      <c r="C811" s="99" t="s">
        <v>2486</v>
      </c>
    </row>
    <row r="812">
      <c r="A812" s="99" t="s">
        <v>3025</v>
      </c>
      <c r="B812" s="99">
        <v>7.41104017E8</v>
      </c>
      <c r="C812" s="99" t="s">
        <v>2486</v>
      </c>
    </row>
    <row r="813">
      <c r="A813" s="99" t="s">
        <v>3026</v>
      </c>
      <c r="B813" s="99">
        <v>7.01335714E8</v>
      </c>
      <c r="C813" s="99" t="s">
        <v>2486</v>
      </c>
    </row>
    <row r="814">
      <c r="A814" s="99" t="s">
        <v>3027</v>
      </c>
      <c r="B814" s="99">
        <v>7.84105303E8</v>
      </c>
      <c r="C814" s="99" t="s">
        <v>2486</v>
      </c>
    </row>
    <row r="815">
      <c r="A815" s="99" t="s">
        <v>3028</v>
      </c>
      <c r="B815" s="99">
        <v>7.87822702E8</v>
      </c>
      <c r="C815" s="99" t="s">
        <v>2488</v>
      </c>
    </row>
    <row r="816">
      <c r="A816" s="99" t="s">
        <v>3029</v>
      </c>
      <c r="B816" s="99">
        <v>7.02628651E8</v>
      </c>
      <c r="C816" s="99" t="s">
        <v>3030</v>
      </c>
    </row>
    <row r="817">
      <c r="A817" s="99" t="s">
        <v>3031</v>
      </c>
      <c r="B817" s="99">
        <v>7.72777104E8</v>
      </c>
      <c r="C817" s="99" t="s">
        <v>3030</v>
      </c>
    </row>
    <row r="818">
      <c r="A818" s="99" t="s">
        <v>3032</v>
      </c>
      <c r="B818" s="99">
        <v>7.72657203E8</v>
      </c>
      <c r="C818" s="99" t="s">
        <v>3030</v>
      </c>
    </row>
    <row r="819">
      <c r="A819" s="99" t="s">
        <v>3033</v>
      </c>
      <c r="B819" s="99">
        <v>7.72979782E8</v>
      </c>
      <c r="C819" s="99" t="s">
        <v>3030</v>
      </c>
    </row>
    <row r="820">
      <c r="A820" s="99" t="s">
        <v>3034</v>
      </c>
      <c r="B820" s="99">
        <v>7.48292949E8</v>
      </c>
      <c r="C820" s="99" t="s">
        <v>3030</v>
      </c>
    </row>
    <row r="821">
      <c r="A821" s="99" t="s">
        <v>3035</v>
      </c>
      <c r="B821" s="99">
        <v>7.03720259E8</v>
      </c>
      <c r="C821" s="99" t="s">
        <v>3030</v>
      </c>
    </row>
    <row r="822">
      <c r="A822" s="99" t="s">
        <v>3036</v>
      </c>
      <c r="B822" s="99">
        <v>7.82098706E8</v>
      </c>
      <c r="C822" s="99" t="s">
        <v>3030</v>
      </c>
    </row>
    <row r="823">
      <c r="A823" s="99" t="s">
        <v>3037</v>
      </c>
      <c r="B823" s="99">
        <v>7.75289757E8</v>
      </c>
      <c r="C823" s="99" t="s">
        <v>3030</v>
      </c>
    </row>
    <row r="824">
      <c r="A824" s="99" t="s">
        <v>3038</v>
      </c>
      <c r="B824" s="99">
        <v>7.76286603E8</v>
      </c>
      <c r="C824" s="99" t="s">
        <v>3030</v>
      </c>
    </row>
    <row r="825">
      <c r="A825" s="99" t="s">
        <v>3039</v>
      </c>
      <c r="B825" s="99">
        <v>7.78800552E8</v>
      </c>
      <c r="C825" s="99" t="s">
        <v>3030</v>
      </c>
    </row>
    <row r="826">
      <c r="A826" s="99" t="s">
        <v>3040</v>
      </c>
      <c r="B826" s="99">
        <v>7.73986055E8</v>
      </c>
      <c r="C826" s="99" t="s">
        <v>3030</v>
      </c>
    </row>
    <row r="827">
      <c r="A827" s="99" t="s">
        <v>3041</v>
      </c>
      <c r="B827" s="99">
        <v>7.05675848E8</v>
      </c>
      <c r="C827" s="99" t="s">
        <v>3030</v>
      </c>
    </row>
    <row r="828">
      <c r="A828" s="99" t="s">
        <v>3042</v>
      </c>
      <c r="B828" s="99">
        <v>7.74443939E8</v>
      </c>
      <c r="C828" s="99" t="s">
        <v>3030</v>
      </c>
    </row>
    <row r="829">
      <c r="A829" s="99" t="s">
        <v>3043</v>
      </c>
      <c r="B829" s="99">
        <v>7.78928883E8</v>
      </c>
      <c r="C829" s="99" t="s">
        <v>3030</v>
      </c>
    </row>
    <row r="830">
      <c r="A830" s="99" t="s">
        <v>3044</v>
      </c>
      <c r="B830" s="99">
        <v>7.73530205E8</v>
      </c>
      <c r="C830" s="99" t="s">
        <v>3030</v>
      </c>
    </row>
    <row r="831">
      <c r="A831" s="99" t="s">
        <v>3045</v>
      </c>
      <c r="B831" s="99">
        <v>7.87372048E8</v>
      </c>
      <c r="C831" s="99" t="s">
        <v>3030</v>
      </c>
    </row>
    <row r="832">
      <c r="A832" s="99" t="s">
        <v>3046</v>
      </c>
      <c r="B832" s="99">
        <v>7.7263572E8</v>
      </c>
      <c r="C832" s="99" t="s">
        <v>3030</v>
      </c>
    </row>
    <row r="833">
      <c r="A833" s="99" t="s">
        <v>3047</v>
      </c>
      <c r="B833" s="99">
        <v>7.88228079E8</v>
      </c>
      <c r="C833" s="99" t="s">
        <v>3030</v>
      </c>
    </row>
    <row r="834">
      <c r="A834" s="99" t="s">
        <v>3048</v>
      </c>
      <c r="B834" s="99">
        <v>7.55436091E8</v>
      </c>
      <c r="C834" s="99" t="s">
        <v>3030</v>
      </c>
    </row>
    <row r="835">
      <c r="A835" s="99" t="s">
        <v>3049</v>
      </c>
      <c r="B835" s="99">
        <v>7.84855844E8</v>
      </c>
      <c r="C835" s="99" t="s">
        <v>3030</v>
      </c>
    </row>
    <row r="836">
      <c r="A836" s="99" t="s">
        <v>3050</v>
      </c>
      <c r="B836" s="99">
        <v>7.87519136E8</v>
      </c>
      <c r="C836" s="99" t="s">
        <v>3030</v>
      </c>
    </row>
    <row r="837">
      <c r="A837" s="99" t="s">
        <v>3051</v>
      </c>
      <c r="B837" s="99">
        <v>7.03474988E8</v>
      </c>
      <c r="C837" s="99" t="s">
        <v>3030</v>
      </c>
    </row>
    <row r="838">
      <c r="A838" s="99" t="s">
        <v>3052</v>
      </c>
      <c r="B838" s="99">
        <v>7.72605807E8</v>
      </c>
      <c r="C838" s="99" t="s">
        <v>3030</v>
      </c>
    </row>
    <row r="839">
      <c r="A839" s="99" t="s">
        <v>3053</v>
      </c>
      <c r="B839" s="99">
        <v>7.02829493E8</v>
      </c>
      <c r="C839" s="99" t="s">
        <v>3030</v>
      </c>
    </row>
    <row r="840">
      <c r="A840" s="99" t="s">
        <v>3054</v>
      </c>
      <c r="B840" s="99">
        <v>7.72710302E8</v>
      </c>
      <c r="C840" s="99" t="s">
        <v>3030</v>
      </c>
    </row>
    <row r="841">
      <c r="A841" s="99" t="s">
        <v>3055</v>
      </c>
      <c r="B841" s="99">
        <v>7.7412509E8</v>
      </c>
      <c r="C841" s="99" t="s">
        <v>3030</v>
      </c>
    </row>
    <row r="842">
      <c r="A842" s="99" t="s">
        <v>3056</v>
      </c>
      <c r="B842" s="99">
        <v>7.72493662E8</v>
      </c>
      <c r="C842" s="99" t="s">
        <v>3030</v>
      </c>
    </row>
    <row r="843">
      <c r="A843" s="99" t="s">
        <v>3057</v>
      </c>
      <c r="B843" s="99">
        <v>7.02636915E8</v>
      </c>
      <c r="C843" s="99" t="s">
        <v>3030</v>
      </c>
    </row>
    <row r="844">
      <c r="A844" s="99" t="s">
        <v>3058</v>
      </c>
      <c r="B844" s="99">
        <v>7.05917626E8</v>
      </c>
      <c r="C844" s="99" t="s">
        <v>3030</v>
      </c>
    </row>
    <row r="845">
      <c r="A845" s="99" t="s">
        <v>3059</v>
      </c>
      <c r="B845" s="99">
        <v>7.027944E8</v>
      </c>
      <c r="C845" s="99" t="s">
        <v>3030</v>
      </c>
    </row>
    <row r="846">
      <c r="A846" s="99" t="s">
        <v>3060</v>
      </c>
      <c r="B846" s="99">
        <v>7.03525666E8</v>
      </c>
      <c r="C846" s="99" t="s">
        <v>3030</v>
      </c>
    </row>
    <row r="847">
      <c r="A847" s="99" t="s">
        <v>3061</v>
      </c>
      <c r="B847" s="99">
        <v>7.03514206E8</v>
      </c>
      <c r="C847" s="99" t="s">
        <v>3030</v>
      </c>
    </row>
    <row r="848">
      <c r="A848" s="99" t="s">
        <v>3062</v>
      </c>
      <c r="B848" s="99">
        <v>7.79180255E8</v>
      </c>
      <c r="C848" s="99" t="s">
        <v>3030</v>
      </c>
    </row>
    <row r="849">
      <c r="A849" s="99" t="s">
        <v>3063</v>
      </c>
      <c r="B849" s="99">
        <v>7.55647999E8</v>
      </c>
      <c r="C849" s="99" t="s">
        <v>3030</v>
      </c>
    </row>
    <row r="850">
      <c r="A850" s="99" t="s">
        <v>3064</v>
      </c>
      <c r="B850" s="99">
        <v>7.02326129E8</v>
      </c>
      <c r="C850" s="99" t="s">
        <v>3030</v>
      </c>
    </row>
    <row r="851">
      <c r="A851" s="99" t="s">
        <v>3065</v>
      </c>
      <c r="B851" s="99">
        <v>7.02826529E8</v>
      </c>
      <c r="C851" s="99" t="s">
        <v>3030</v>
      </c>
    </row>
    <row r="852">
      <c r="A852" s="99" t="s">
        <v>3066</v>
      </c>
      <c r="B852" s="99">
        <v>7.73927345E8</v>
      </c>
      <c r="C852" s="99" t="s">
        <v>3030</v>
      </c>
    </row>
    <row r="853">
      <c r="A853" s="99" t="s">
        <v>3067</v>
      </c>
      <c r="B853" s="99">
        <v>7.72918542E8</v>
      </c>
      <c r="C853" s="99" t="s">
        <v>3030</v>
      </c>
    </row>
    <row r="854">
      <c r="A854" s="99" t="s">
        <v>3068</v>
      </c>
      <c r="B854" s="99">
        <v>7.56337409E8</v>
      </c>
      <c r="C854" s="99" t="s">
        <v>3069</v>
      </c>
    </row>
    <row r="855">
      <c r="A855" s="99" t="s">
        <v>3070</v>
      </c>
      <c r="B855" s="99">
        <v>7.55221117E8</v>
      </c>
      <c r="C855" s="99" t="s">
        <v>3069</v>
      </c>
    </row>
    <row r="856">
      <c r="A856" s="99" t="s">
        <v>3071</v>
      </c>
      <c r="B856" s="99">
        <v>7.72441424E8</v>
      </c>
      <c r="C856" s="99" t="s">
        <v>3069</v>
      </c>
    </row>
    <row r="857">
      <c r="A857" s="99" t="s">
        <v>3072</v>
      </c>
      <c r="B857" s="99">
        <v>7.55212324E8</v>
      </c>
      <c r="C857" s="99" t="s">
        <v>3030</v>
      </c>
    </row>
    <row r="858">
      <c r="A858" s="99" t="s">
        <v>3073</v>
      </c>
      <c r="B858" s="99">
        <v>7.05603168E8</v>
      </c>
      <c r="C858" s="99" t="s">
        <v>3030</v>
      </c>
    </row>
    <row r="859">
      <c r="A859" s="99" t="s">
        <v>3074</v>
      </c>
      <c r="B859" s="99">
        <v>7.82040831E8</v>
      </c>
      <c r="C859" s="99" t="s">
        <v>3030</v>
      </c>
    </row>
    <row r="860">
      <c r="A860" s="99" t="s">
        <v>3075</v>
      </c>
      <c r="B860" s="99">
        <v>7.72483375E8</v>
      </c>
      <c r="C860" s="99" t="s">
        <v>3069</v>
      </c>
    </row>
    <row r="861">
      <c r="A861" s="99" t="s">
        <v>3076</v>
      </c>
      <c r="B861" s="99">
        <v>7.728458E8</v>
      </c>
      <c r="C861" s="99" t="s">
        <v>3069</v>
      </c>
    </row>
    <row r="862">
      <c r="A862" s="99" t="s">
        <v>3077</v>
      </c>
      <c r="B862" s="99">
        <v>7.61488952E8</v>
      </c>
      <c r="C862" s="99" t="s">
        <v>2486</v>
      </c>
    </row>
    <row r="863">
      <c r="A863" s="99" t="s">
        <v>3078</v>
      </c>
      <c r="B863" s="99">
        <v>7.68243524E8</v>
      </c>
      <c r="C863" s="99" t="s">
        <v>2486</v>
      </c>
    </row>
    <row r="864">
      <c r="A864" s="99" t="s">
        <v>3079</v>
      </c>
      <c r="B864" s="99">
        <v>7.07201702E8</v>
      </c>
      <c r="C864" s="99" t="s">
        <v>2486</v>
      </c>
    </row>
    <row r="865">
      <c r="A865" s="99" t="s">
        <v>3080</v>
      </c>
      <c r="B865" s="99">
        <v>7.0429255E8</v>
      </c>
      <c r="C865" s="99" t="s">
        <v>2486</v>
      </c>
    </row>
    <row r="866">
      <c r="A866" s="99" t="s">
        <v>3081</v>
      </c>
      <c r="B866" s="99">
        <v>7.4859282E8</v>
      </c>
      <c r="C866" s="99" t="s">
        <v>2486</v>
      </c>
    </row>
    <row r="867">
      <c r="A867" s="99" t="s">
        <v>3082</v>
      </c>
      <c r="B867" s="99">
        <v>7.01201807E8</v>
      </c>
      <c r="C867" s="99" t="s">
        <v>2486</v>
      </c>
    </row>
    <row r="868">
      <c r="A868" s="99" t="s">
        <v>3083</v>
      </c>
      <c r="B868" s="99">
        <v>7.59202758E8</v>
      </c>
      <c r="C868" s="99" t="s">
        <v>2486</v>
      </c>
    </row>
    <row r="869">
      <c r="A869" s="99" t="s">
        <v>3084</v>
      </c>
      <c r="B869" s="99">
        <v>7.79301845E8</v>
      </c>
      <c r="C869" s="99" t="s">
        <v>2486</v>
      </c>
    </row>
    <row r="870">
      <c r="A870" s="99" t="s">
        <v>3085</v>
      </c>
      <c r="B870" s="99">
        <v>7.78857739E8</v>
      </c>
      <c r="C870" s="99" t="s">
        <v>2486</v>
      </c>
    </row>
    <row r="871">
      <c r="A871" s="99" t="s">
        <v>3086</v>
      </c>
      <c r="B871" s="99">
        <v>7.81285713E8</v>
      </c>
      <c r="C871" s="99" t="s">
        <v>2486</v>
      </c>
    </row>
    <row r="872">
      <c r="A872" s="99" t="s">
        <v>3087</v>
      </c>
      <c r="B872" s="99">
        <v>7.54728959E8</v>
      </c>
      <c r="C872" s="99" t="s">
        <v>2486</v>
      </c>
    </row>
    <row r="873">
      <c r="A873" s="99" t="s">
        <v>3088</v>
      </c>
      <c r="B873" s="99">
        <v>7.82716216E8</v>
      </c>
      <c r="C873" s="99" t="s">
        <v>2486</v>
      </c>
    </row>
    <row r="874">
      <c r="A874" s="99" t="s">
        <v>3089</v>
      </c>
      <c r="B874" s="99">
        <v>7.74954286E8</v>
      </c>
      <c r="C874" s="99" t="s">
        <v>2486</v>
      </c>
    </row>
    <row r="875">
      <c r="A875" s="99" t="s">
        <v>3090</v>
      </c>
      <c r="B875" s="99">
        <v>7.06752639E8</v>
      </c>
      <c r="C875" s="99" t="s">
        <v>2488</v>
      </c>
    </row>
    <row r="876">
      <c r="A876" s="99" t="s">
        <v>3091</v>
      </c>
      <c r="B876" s="99">
        <v>7.78201122E8</v>
      </c>
      <c r="C876" s="99" t="s">
        <v>2488</v>
      </c>
    </row>
    <row r="877">
      <c r="A877" s="99" t="s">
        <v>3092</v>
      </c>
      <c r="B877" s="99">
        <v>7.79310211E8</v>
      </c>
      <c r="C877" s="99" t="s">
        <v>2488</v>
      </c>
    </row>
    <row r="878">
      <c r="A878" s="99" t="s">
        <v>3093</v>
      </c>
      <c r="B878" s="99">
        <v>7.59570945E8</v>
      </c>
      <c r="C878" s="99" t="s">
        <v>2488</v>
      </c>
    </row>
    <row r="879">
      <c r="A879" s="99" t="s">
        <v>3094</v>
      </c>
      <c r="B879" s="99">
        <v>7.05300065E8</v>
      </c>
      <c r="C879" s="99" t="s">
        <v>2488</v>
      </c>
    </row>
    <row r="880">
      <c r="A880" s="99" t="s">
        <v>3095</v>
      </c>
      <c r="B880" s="99">
        <v>7.78037069E8</v>
      </c>
      <c r="C880" s="99" t="s">
        <v>2486</v>
      </c>
    </row>
    <row r="881">
      <c r="A881" s="99" t="s">
        <v>3096</v>
      </c>
      <c r="B881" s="99">
        <v>7.51066528E8</v>
      </c>
      <c r="C881" s="99" t="s">
        <v>2486</v>
      </c>
    </row>
    <row r="882">
      <c r="A882" s="99" t="s">
        <v>3097</v>
      </c>
      <c r="B882" s="99">
        <v>7.0213417E8</v>
      </c>
      <c r="C882" s="99" t="s">
        <v>2486</v>
      </c>
    </row>
    <row r="883">
      <c r="A883" s="99" t="s">
        <v>3098</v>
      </c>
      <c r="B883" s="99">
        <v>7.72698414E8</v>
      </c>
      <c r="C883" s="99" t="s">
        <v>2486</v>
      </c>
    </row>
    <row r="884">
      <c r="A884" s="99" t="s">
        <v>3099</v>
      </c>
      <c r="B884" s="99">
        <v>7.80176824E8</v>
      </c>
      <c r="C884" s="99" t="s">
        <v>2486</v>
      </c>
    </row>
    <row r="885">
      <c r="A885" s="99" t="s">
        <v>3100</v>
      </c>
      <c r="B885" s="99">
        <v>7.74086979E8</v>
      </c>
      <c r="C885" s="99" t="s">
        <v>2486</v>
      </c>
    </row>
    <row r="886">
      <c r="A886" s="99" t="s">
        <v>3101</v>
      </c>
      <c r="B886" s="99">
        <v>7.04688979E8</v>
      </c>
      <c r="C886" s="99" t="s">
        <v>2486</v>
      </c>
    </row>
    <row r="887">
      <c r="A887" s="99" t="s">
        <v>3102</v>
      </c>
      <c r="B887" s="99">
        <v>7.02503228E8</v>
      </c>
      <c r="C887" s="99" t="s">
        <v>2486</v>
      </c>
    </row>
    <row r="888">
      <c r="A888" s="99" t="s">
        <v>3103</v>
      </c>
      <c r="B888" s="99">
        <v>7.73433353E8</v>
      </c>
      <c r="C888" s="99" t="s">
        <v>2486</v>
      </c>
    </row>
    <row r="889">
      <c r="A889" s="99" t="s">
        <v>3104</v>
      </c>
      <c r="B889" s="99">
        <v>7.74645826E8</v>
      </c>
      <c r="C889" s="99" t="s">
        <v>2486</v>
      </c>
    </row>
    <row r="890">
      <c r="A890" s="99" t="s">
        <v>3105</v>
      </c>
      <c r="B890" s="99">
        <v>7.79902244E8</v>
      </c>
      <c r="C890" s="99" t="s">
        <v>2486</v>
      </c>
    </row>
    <row r="891">
      <c r="A891" s="99" t="s">
        <v>3106</v>
      </c>
      <c r="B891" s="99">
        <v>7.7214144E8</v>
      </c>
      <c r="C891" s="99" t="s">
        <v>2486</v>
      </c>
    </row>
    <row r="892">
      <c r="A892" s="99" t="s">
        <v>3107</v>
      </c>
      <c r="B892" s="99">
        <v>7.0200297E8</v>
      </c>
      <c r="C892" s="99" t="s">
        <v>2486</v>
      </c>
    </row>
    <row r="893">
      <c r="A893" s="99" t="s">
        <v>3108</v>
      </c>
      <c r="B893" s="99">
        <v>7.58706857E8</v>
      </c>
      <c r="C893" s="99" t="s">
        <v>2486</v>
      </c>
    </row>
    <row r="894">
      <c r="A894" s="99" t="s">
        <v>3109</v>
      </c>
      <c r="B894" s="99">
        <v>7.56615778E8</v>
      </c>
      <c r="C894" s="99" t="s">
        <v>2486</v>
      </c>
    </row>
    <row r="895">
      <c r="A895" s="99" t="s">
        <v>3110</v>
      </c>
      <c r="B895" s="99">
        <v>7.76099855E8</v>
      </c>
      <c r="C895" s="99" t="s">
        <v>2486</v>
      </c>
    </row>
    <row r="896">
      <c r="A896" s="99" t="s">
        <v>3111</v>
      </c>
      <c r="B896" s="99">
        <v>7.56615778E8</v>
      </c>
      <c r="C896" s="99" t="s">
        <v>2488</v>
      </c>
    </row>
    <row r="897">
      <c r="A897" s="99" t="s">
        <v>3112</v>
      </c>
      <c r="B897" s="99">
        <v>7.021026E8</v>
      </c>
      <c r="C897" s="99" t="s">
        <v>2486</v>
      </c>
    </row>
    <row r="898">
      <c r="A898" s="99" t="s">
        <v>3113</v>
      </c>
      <c r="B898" s="99">
        <v>7.73052884E8</v>
      </c>
      <c r="C898" s="99" t="s">
        <v>2486</v>
      </c>
    </row>
    <row r="899">
      <c r="A899" s="99" t="s">
        <v>3114</v>
      </c>
      <c r="B899" s="99">
        <v>7.59094847E8</v>
      </c>
      <c r="C899" s="99" t="s">
        <v>2486</v>
      </c>
    </row>
    <row r="900">
      <c r="A900" s="99" t="s">
        <v>3115</v>
      </c>
      <c r="B900" s="99">
        <v>7.02781117E8</v>
      </c>
      <c r="C900" s="99" t="s">
        <v>2486</v>
      </c>
    </row>
    <row r="901">
      <c r="A901" s="99" t="s">
        <v>3116</v>
      </c>
      <c r="B901" s="99">
        <v>7.04324008E8</v>
      </c>
      <c r="C901" s="99" t="s">
        <v>2486</v>
      </c>
    </row>
    <row r="902">
      <c r="A902" s="99" t="s">
        <v>3117</v>
      </c>
      <c r="B902" s="99">
        <v>7.07601622E8</v>
      </c>
      <c r="C902" s="99" t="s">
        <v>2486</v>
      </c>
    </row>
    <row r="903">
      <c r="A903" s="99" t="s">
        <v>3118</v>
      </c>
      <c r="B903" s="99">
        <v>7.69740221E8</v>
      </c>
      <c r="C903" s="99" t="s">
        <v>2486</v>
      </c>
    </row>
    <row r="904">
      <c r="A904" s="99" t="s">
        <v>3119</v>
      </c>
      <c r="B904" s="99">
        <v>7.58707109E8</v>
      </c>
      <c r="C904" s="99" t="s">
        <v>2488</v>
      </c>
    </row>
    <row r="905">
      <c r="A905" s="99" t="s">
        <v>3120</v>
      </c>
      <c r="B905" s="99">
        <v>7.05801204E8</v>
      </c>
      <c r="C905" s="99" t="s">
        <v>2488</v>
      </c>
    </row>
    <row r="906">
      <c r="A906" s="99" t="s">
        <v>3121</v>
      </c>
      <c r="B906" s="99">
        <v>7.59086472E8</v>
      </c>
      <c r="C906" s="99" t="s">
        <v>2486</v>
      </c>
    </row>
    <row r="907">
      <c r="A907" s="99" t="s">
        <v>3122</v>
      </c>
      <c r="B907" s="99">
        <v>7.72344555E8</v>
      </c>
      <c r="C907" s="99" t="s">
        <v>2486</v>
      </c>
    </row>
    <row r="908">
      <c r="A908" s="99" t="s">
        <v>3123</v>
      </c>
      <c r="B908" s="99">
        <v>7.79217588E8</v>
      </c>
      <c r="C908" s="99" t="s">
        <v>2486</v>
      </c>
    </row>
    <row r="909">
      <c r="A909" s="99" t="s">
        <v>3124</v>
      </c>
      <c r="B909" s="99">
        <v>7.88048764E8</v>
      </c>
      <c r="C909" s="99" t="s">
        <v>2486</v>
      </c>
    </row>
    <row r="910">
      <c r="A910" s="99" t="s">
        <v>3125</v>
      </c>
      <c r="B910" s="99">
        <v>7.59361457E8</v>
      </c>
      <c r="C910" s="99" t="s">
        <v>2486</v>
      </c>
    </row>
    <row r="911">
      <c r="A911" s="99" t="s">
        <v>3126</v>
      </c>
      <c r="B911" s="99">
        <v>7.72556724E8</v>
      </c>
      <c r="C911" s="99" t="s">
        <v>2486</v>
      </c>
    </row>
    <row r="912">
      <c r="A912" s="99" t="s">
        <v>3127</v>
      </c>
      <c r="B912" s="99">
        <v>7.84653444E8</v>
      </c>
      <c r="C912" s="99" t="s">
        <v>2488</v>
      </c>
    </row>
    <row r="913">
      <c r="A913" s="99" t="s">
        <v>3128</v>
      </c>
      <c r="B913" s="99">
        <v>7.71227034E8</v>
      </c>
      <c r="C913" s="99" t="s">
        <v>2530</v>
      </c>
    </row>
    <row r="914">
      <c r="A914" s="99" t="s">
        <v>3129</v>
      </c>
      <c r="B914" s="99">
        <v>7.02947407E8</v>
      </c>
      <c r="C914" s="99" t="s">
        <v>2486</v>
      </c>
    </row>
    <row r="915">
      <c r="A915" s="99" t="s">
        <v>3130</v>
      </c>
      <c r="B915" s="99">
        <v>7.2024096E8</v>
      </c>
      <c r="C915" s="99" t="s">
        <v>2486</v>
      </c>
    </row>
    <row r="916">
      <c r="A916" s="99" t="s">
        <v>3131</v>
      </c>
      <c r="B916" s="99">
        <v>7.53247713E8</v>
      </c>
      <c r="C916" s="99" t="s">
        <v>2486</v>
      </c>
    </row>
    <row r="917">
      <c r="A917" s="99" t="s">
        <v>3132</v>
      </c>
      <c r="B917" s="99">
        <v>7.88497208E8</v>
      </c>
      <c r="C917" s="99" t="s">
        <v>2486</v>
      </c>
    </row>
    <row r="918">
      <c r="A918" s="99" t="s">
        <v>3133</v>
      </c>
      <c r="B918" s="99">
        <v>7.03296848E8</v>
      </c>
      <c r="C918" s="99" t="s">
        <v>2488</v>
      </c>
    </row>
    <row r="919">
      <c r="A919" s="99" t="s">
        <v>3134</v>
      </c>
      <c r="B919" s="99">
        <v>7.03909917E8</v>
      </c>
      <c r="C919" s="99" t="s">
        <v>2488</v>
      </c>
    </row>
    <row r="920">
      <c r="A920" s="99" t="s">
        <v>3135</v>
      </c>
      <c r="B920" s="99">
        <v>7.54761351E8</v>
      </c>
      <c r="C920" s="99" t="s">
        <v>2488</v>
      </c>
    </row>
    <row r="921">
      <c r="A921" s="99" t="s">
        <v>3136</v>
      </c>
      <c r="B921" s="99">
        <v>7.75808883E8</v>
      </c>
      <c r="C921" s="99" t="s">
        <v>2488</v>
      </c>
    </row>
    <row r="922">
      <c r="A922" s="99" t="s">
        <v>3137</v>
      </c>
      <c r="B922" s="99">
        <v>7.72400395E8</v>
      </c>
      <c r="C922" s="99" t="s">
        <v>2488</v>
      </c>
    </row>
    <row r="923">
      <c r="A923" s="99" t="s">
        <v>3138</v>
      </c>
      <c r="B923" s="99">
        <v>7.72883323E8</v>
      </c>
      <c r="C923" s="99" t="s">
        <v>2488</v>
      </c>
    </row>
    <row r="924">
      <c r="A924" s="99" t="s">
        <v>3139</v>
      </c>
      <c r="B924" s="99">
        <v>7.72440785E8</v>
      </c>
      <c r="C924" s="99" t="s">
        <v>2488</v>
      </c>
    </row>
    <row r="925">
      <c r="A925" s="99" t="s">
        <v>3140</v>
      </c>
      <c r="B925" s="99">
        <v>7.04912925E8</v>
      </c>
      <c r="C925" s="99" t="s">
        <v>2530</v>
      </c>
    </row>
    <row r="926">
      <c r="A926" s="99" t="s">
        <v>3141</v>
      </c>
      <c r="B926" s="99">
        <v>7.8227004E8</v>
      </c>
      <c r="C926" s="99" t="s">
        <v>2530</v>
      </c>
    </row>
    <row r="927">
      <c r="A927" s="99" t="s">
        <v>3142</v>
      </c>
      <c r="B927" s="99">
        <v>7.72415403E8</v>
      </c>
      <c r="C927" s="99" t="s">
        <v>2486</v>
      </c>
    </row>
    <row r="928">
      <c r="A928" s="99" t="s">
        <v>3143</v>
      </c>
      <c r="B928" s="99">
        <v>7.72513337E8</v>
      </c>
      <c r="C928" s="99" t="s">
        <v>2486</v>
      </c>
    </row>
    <row r="929">
      <c r="A929" s="99" t="s">
        <v>2822</v>
      </c>
      <c r="B929" s="99">
        <v>7.59111701E8</v>
      </c>
      <c r="C929" s="99" t="s">
        <v>2488</v>
      </c>
    </row>
    <row r="930">
      <c r="A930" s="99" t="s">
        <v>3144</v>
      </c>
      <c r="B930" s="99">
        <v>7.79789741E8</v>
      </c>
      <c r="C930" s="99" t="s">
        <v>2530</v>
      </c>
    </row>
    <row r="931">
      <c r="A931" s="99" t="s">
        <v>3145</v>
      </c>
      <c r="B931" s="99">
        <v>7.05900414E8</v>
      </c>
      <c r="C931" s="99" t="s">
        <v>2248</v>
      </c>
    </row>
    <row r="932">
      <c r="A932" s="99" t="s">
        <v>3146</v>
      </c>
      <c r="B932" s="99">
        <v>7.74344088E8</v>
      </c>
      <c r="C932" s="99" t="s">
        <v>2248</v>
      </c>
    </row>
    <row r="933">
      <c r="A933" s="99" t="s">
        <v>3147</v>
      </c>
      <c r="B933" s="99">
        <v>7.53530085E8</v>
      </c>
      <c r="C933" s="99" t="s">
        <v>2248</v>
      </c>
    </row>
    <row r="934">
      <c r="A934" s="99" t="s">
        <v>3148</v>
      </c>
      <c r="B934" s="99">
        <v>7.82142435E8</v>
      </c>
      <c r="C934" s="99" t="s">
        <v>2530</v>
      </c>
    </row>
    <row r="935">
      <c r="A935" s="99" t="s">
        <v>3149</v>
      </c>
      <c r="B935" s="99">
        <v>7.07202298E8</v>
      </c>
      <c r="C935" s="99" t="s">
        <v>2248</v>
      </c>
    </row>
    <row r="936">
      <c r="A936" s="99" t="s">
        <v>3150</v>
      </c>
      <c r="B936" s="99">
        <v>7.02354158E8</v>
      </c>
      <c r="C936" s="99" t="s">
        <v>2248</v>
      </c>
    </row>
    <row r="937">
      <c r="A937" s="99" t="s">
        <v>3151</v>
      </c>
      <c r="B937" s="99">
        <v>7.05000224E8</v>
      </c>
      <c r="C937" s="99" t="s">
        <v>2530</v>
      </c>
    </row>
    <row r="938">
      <c r="A938" s="99" t="s">
        <v>3152</v>
      </c>
      <c r="B938" s="99">
        <v>7.82539051E8</v>
      </c>
      <c r="C938" s="99" t="s">
        <v>2248</v>
      </c>
    </row>
    <row r="939">
      <c r="A939" s="99" t="s">
        <v>3153</v>
      </c>
      <c r="B939" s="99">
        <v>7.5807071E8</v>
      </c>
      <c r="C939" s="99" t="s">
        <v>2248</v>
      </c>
    </row>
    <row r="940">
      <c r="A940" s="99" t="s">
        <v>3154</v>
      </c>
      <c r="B940" s="99">
        <v>7.82868482E8</v>
      </c>
      <c r="C940" s="99" t="s">
        <v>2248</v>
      </c>
    </row>
    <row r="941">
      <c r="A941" s="99" t="s">
        <v>3155</v>
      </c>
      <c r="B941" s="99">
        <v>7.71257316E8</v>
      </c>
      <c r="C941" s="99" t="s">
        <v>2530</v>
      </c>
    </row>
    <row r="942">
      <c r="A942" s="99" t="s">
        <v>3156</v>
      </c>
      <c r="B942" s="99">
        <v>7.74344355E8</v>
      </c>
      <c r="C942" s="99" t="s">
        <v>3157</v>
      </c>
    </row>
    <row r="943">
      <c r="A943" s="99" t="s">
        <v>3158</v>
      </c>
      <c r="B943" s="99">
        <v>7.72514762E8</v>
      </c>
      <c r="C943" s="99" t="s">
        <v>2248</v>
      </c>
    </row>
    <row r="944">
      <c r="A944" s="99" t="s">
        <v>3159</v>
      </c>
      <c r="B944" s="99">
        <v>7.01670655E8</v>
      </c>
      <c r="C944" s="99" t="s">
        <v>2248</v>
      </c>
    </row>
    <row r="945">
      <c r="A945" s="99" t="s">
        <v>3160</v>
      </c>
      <c r="B945" s="99">
        <v>7.59122193E8</v>
      </c>
      <c r="C945" s="99" t="s">
        <v>2248</v>
      </c>
    </row>
    <row r="946">
      <c r="A946" s="99" t="s">
        <v>3161</v>
      </c>
      <c r="B946" s="99">
        <v>7.52601158E8</v>
      </c>
      <c r="C946" s="99" t="s">
        <v>2248</v>
      </c>
    </row>
    <row r="947">
      <c r="A947" s="99" t="s">
        <v>3162</v>
      </c>
      <c r="B947" s="99">
        <v>7.74521454E8</v>
      </c>
      <c r="C947" s="99" t="s">
        <v>2248</v>
      </c>
    </row>
    <row r="948">
      <c r="A948" s="99" t="s">
        <v>3163</v>
      </c>
      <c r="B948" s="99">
        <v>7.01443366E8</v>
      </c>
      <c r="C948" s="99" t="s">
        <v>2248</v>
      </c>
    </row>
    <row r="949">
      <c r="A949" s="99" t="s">
        <v>3164</v>
      </c>
      <c r="B949" s="99">
        <v>7.82906869E8</v>
      </c>
      <c r="C949" s="99" t="s">
        <v>2248</v>
      </c>
    </row>
    <row r="950">
      <c r="A950" s="99" t="s">
        <v>3165</v>
      </c>
      <c r="B950" s="99">
        <v>7.72472438E8</v>
      </c>
      <c r="C950" s="99" t="s">
        <v>2530</v>
      </c>
    </row>
    <row r="951">
      <c r="A951" s="99" t="s">
        <v>3166</v>
      </c>
      <c r="B951" s="99">
        <v>7.79645979E8</v>
      </c>
      <c r="C951" s="99" t="s">
        <v>3157</v>
      </c>
    </row>
    <row r="952">
      <c r="A952" s="99" t="s">
        <v>3167</v>
      </c>
      <c r="B952" s="99">
        <v>7.53336511E8</v>
      </c>
      <c r="C952" s="99" t="s">
        <v>3157</v>
      </c>
    </row>
    <row r="953">
      <c r="A953" s="99" t="s">
        <v>3168</v>
      </c>
      <c r="B953" s="99">
        <v>7.72852399E8</v>
      </c>
      <c r="C953" s="99" t="s">
        <v>3157</v>
      </c>
    </row>
    <row r="954">
      <c r="A954" s="99" t="s">
        <v>3169</v>
      </c>
      <c r="B954" s="99">
        <v>7.03138015E8</v>
      </c>
      <c r="C954" s="99" t="s">
        <v>3157</v>
      </c>
    </row>
    <row r="955">
      <c r="A955" s="99" t="s">
        <v>3170</v>
      </c>
      <c r="B955" s="99">
        <v>7.5639892E8</v>
      </c>
      <c r="C955" s="99" t="s">
        <v>3157</v>
      </c>
    </row>
    <row r="956">
      <c r="A956" s="99" t="s">
        <v>3171</v>
      </c>
      <c r="B956" s="99">
        <v>7.80368099E8</v>
      </c>
      <c r="C956" s="99" t="s">
        <v>3157</v>
      </c>
    </row>
    <row r="957">
      <c r="A957" s="99" t="s">
        <v>3172</v>
      </c>
      <c r="B957" s="99">
        <v>7.01865029E8</v>
      </c>
      <c r="C957" s="99" t="s">
        <v>3157</v>
      </c>
    </row>
    <row r="958">
      <c r="A958" s="99" t="s">
        <v>3173</v>
      </c>
      <c r="B958" s="99">
        <v>7.84373768E8</v>
      </c>
      <c r="C958" s="99" t="s">
        <v>3157</v>
      </c>
    </row>
    <row r="959">
      <c r="A959" s="99" t="s">
        <v>3174</v>
      </c>
      <c r="B959" s="99">
        <v>7.72550447E8</v>
      </c>
      <c r="C959" s="99" t="s">
        <v>3157</v>
      </c>
    </row>
    <row r="960">
      <c r="A960" s="99" t="s">
        <v>3175</v>
      </c>
      <c r="B960" s="99">
        <v>7.01865029E8</v>
      </c>
      <c r="C960" s="99" t="s">
        <v>3157</v>
      </c>
    </row>
    <row r="961">
      <c r="A961" s="99" t="s">
        <v>3176</v>
      </c>
      <c r="B961" s="99">
        <v>7.84373768E8</v>
      </c>
      <c r="C961" s="99" t="s">
        <v>3157</v>
      </c>
    </row>
    <row r="962">
      <c r="A962" s="99" t="s">
        <v>3177</v>
      </c>
      <c r="B962" s="99">
        <v>7.51541961E8</v>
      </c>
      <c r="C962" s="99" t="s">
        <v>3178</v>
      </c>
    </row>
    <row r="963">
      <c r="A963" s="99" t="s">
        <v>3179</v>
      </c>
      <c r="B963" s="99">
        <v>7.0154918E8</v>
      </c>
      <c r="C963" s="99" t="s">
        <v>3157</v>
      </c>
    </row>
    <row r="964">
      <c r="A964" s="99" t="s">
        <v>3180</v>
      </c>
      <c r="B964" s="99">
        <v>7.03191342E8</v>
      </c>
      <c r="C964" s="99" t="s">
        <v>3157</v>
      </c>
    </row>
    <row r="965">
      <c r="A965" s="99" t="s">
        <v>3181</v>
      </c>
      <c r="B965" s="99">
        <v>7.60890629E8</v>
      </c>
      <c r="C965" s="99" t="s">
        <v>3157</v>
      </c>
    </row>
    <row r="966">
      <c r="A966" s="99" t="s">
        <v>3182</v>
      </c>
      <c r="B966" s="99">
        <v>7.70946135E8</v>
      </c>
      <c r="C966" s="99" t="s">
        <v>3157</v>
      </c>
    </row>
    <row r="967">
      <c r="A967" s="99" t="s">
        <v>3183</v>
      </c>
      <c r="B967" s="99">
        <v>7.72205694E8</v>
      </c>
      <c r="C967" s="99" t="s">
        <v>3157</v>
      </c>
    </row>
    <row r="968">
      <c r="A968" s="99" t="s">
        <v>3184</v>
      </c>
      <c r="B968" s="99">
        <v>7.00393194E8</v>
      </c>
      <c r="C968" s="99" t="s">
        <v>3157</v>
      </c>
    </row>
    <row r="969">
      <c r="A969" s="99" t="s">
        <v>3185</v>
      </c>
      <c r="B969" s="99">
        <v>7.56031051E8</v>
      </c>
      <c r="C969" s="99" t="s">
        <v>3157</v>
      </c>
    </row>
    <row r="970">
      <c r="A970" s="99" t="s">
        <v>3186</v>
      </c>
      <c r="B970" s="99">
        <v>7.57285001E8</v>
      </c>
      <c r="C970" s="99" t="s">
        <v>3157</v>
      </c>
    </row>
    <row r="971">
      <c r="A971" s="99" t="s">
        <v>3187</v>
      </c>
      <c r="B971" s="99">
        <v>7.87340728E8</v>
      </c>
      <c r="C971" s="99" t="s">
        <v>3157</v>
      </c>
    </row>
    <row r="972">
      <c r="A972" s="99" t="s">
        <v>3188</v>
      </c>
      <c r="B972" s="99">
        <v>7.03646566E8</v>
      </c>
      <c r="C972" s="99" t="s">
        <v>3157</v>
      </c>
    </row>
    <row r="973">
      <c r="A973" s="99" t="s">
        <v>3189</v>
      </c>
      <c r="B973" s="99">
        <v>7.76721158E8</v>
      </c>
      <c r="C973" s="99" t="s">
        <v>3157</v>
      </c>
    </row>
    <row r="974">
      <c r="A974" s="99" t="s">
        <v>3190</v>
      </c>
      <c r="B974" s="99">
        <v>7.58166903E8</v>
      </c>
      <c r="C974" s="99" t="s">
        <v>3157</v>
      </c>
    </row>
    <row r="975">
      <c r="A975" s="99" t="s">
        <v>3191</v>
      </c>
      <c r="B975" s="99">
        <v>7.02048783E8</v>
      </c>
      <c r="C975" s="99" t="s">
        <v>3157</v>
      </c>
    </row>
    <row r="976">
      <c r="A976" s="99" t="s">
        <v>3192</v>
      </c>
      <c r="B976" s="99">
        <v>7.75413519E8</v>
      </c>
      <c r="C976" s="99" t="s">
        <v>3157</v>
      </c>
    </row>
    <row r="977">
      <c r="A977" s="99" t="s">
        <v>3193</v>
      </c>
      <c r="B977" s="99">
        <v>7.76647086E8</v>
      </c>
      <c r="C977" s="99" t="s">
        <v>3157</v>
      </c>
    </row>
    <row r="978">
      <c r="A978" s="99" t="s">
        <v>3194</v>
      </c>
      <c r="B978" s="99">
        <v>7.00557991E8</v>
      </c>
      <c r="C978" s="99" t="s">
        <v>3157</v>
      </c>
    </row>
    <row r="979">
      <c r="A979" s="99" t="s">
        <v>3195</v>
      </c>
      <c r="B979" s="99">
        <v>7.50865109E8</v>
      </c>
      <c r="C979" s="99" t="s">
        <v>3157</v>
      </c>
    </row>
    <row r="980">
      <c r="A980" s="99" t="s">
        <v>3196</v>
      </c>
      <c r="B980" s="99">
        <v>7.77631601E8</v>
      </c>
      <c r="C980" s="99" t="s">
        <v>3157</v>
      </c>
    </row>
    <row r="981">
      <c r="A981" s="99" t="s">
        <v>3197</v>
      </c>
      <c r="B981" s="99">
        <v>7.83253388E8</v>
      </c>
      <c r="C981" s="99" t="s">
        <v>3157</v>
      </c>
    </row>
    <row r="982">
      <c r="A982" s="99" t="s">
        <v>3198</v>
      </c>
      <c r="B982" s="99">
        <v>7.77916622E8</v>
      </c>
      <c r="C982" s="99" t="s">
        <v>3157</v>
      </c>
    </row>
    <row r="983">
      <c r="A983" s="99" t="s">
        <v>3199</v>
      </c>
      <c r="B983" s="99">
        <v>7.79623563E8</v>
      </c>
      <c r="C983" s="99" t="s">
        <v>3157</v>
      </c>
    </row>
    <row r="984">
      <c r="A984" s="99" t="s">
        <v>3200</v>
      </c>
      <c r="B984" s="99">
        <v>7.04669121E8</v>
      </c>
      <c r="C984" s="99" t="s">
        <v>3157</v>
      </c>
    </row>
    <row r="985">
      <c r="A985" s="99" t="s">
        <v>3201</v>
      </c>
      <c r="B985" s="99">
        <v>7.02856551E8</v>
      </c>
      <c r="C985" s="99" t="s">
        <v>3157</v>
      </c>
    </row>
    <row r="986">
      <c r="A986" s="99" t="s">
        <v>3202</v>
      </c>
      <c r="B986" s="99">
        <v>7.53138777E8</v>
      </c>
      <c r="C986" s="99" t="s">
        <v>3157</v>
      </c>
    </row>
    <row r="987">
      <c r="A987" s="99" t="s">
        <v>3203</v>
      </c>
      <c r="B987" s="99">
        <v>7.83579659E8</v>
      </c>
      <c r="C987" s="99" t="s">
        <v>3157</v>
      </c>
    </row>
    <row r="988">
      <c r="A988" s="99" t="s">
        <v>3204</v>
      </c>
      <c r="B988" s="99">
        <v>7.88749159E8</v>
      </c>
      <c r="C988" s="99" t="s">
        <v>3157</v>
      </c>
    </row>
    <row r="989">
      <c r="A989" s="99" t="s">
        <v>3205</v>
      </c>
      <c r="B989" s="99">
        <v>7.88624806E8</v>
      </c>
      <c r="C989" s="99" t="s">
        <v>3157</v>
      </c>
    </row>
    <row r="990">
      <c r="A990" s="99" t="s">
        <v>3206</v>
      </c>
      <c r="B990" s="99">
        <v>7.01865029E8</v>
      </c>
      <c r="C990" s="99" t="s">
        <v>3157</v>
      </c>
    </row>
    <row r="991">
      <c r="A991" s="99" t="s">
        <v>3207</v>
      </c>
      <c r="B991" s="99">
        <v>7.77075497E8</v>
      </c>
      <c r="C991" s="99" t="s">
        <v>3157</v>
      </c>
    </row>
    <row r="992">
      <c r="A992" s="99" t="s">
        <v>3208</v>
      </c>
      <c r="B992" s="99">
        <v>7.87374231E8</v>
      </c>
      <c r="C992" s="99" t="s">
        <v>3157</v>
      </c>
    </row>
    <row r="993">
      <c r="A993" s="99" t="s">
        <v>3209</v>
      </c>
      <c r="B993" s="99">
        <v>7.81820839E8</v>
      </c>
      <c r="C993" s="99" t="s">
        <v>3157</v>
      </c>
    </row>
    <row r="994">
      <c r="A994" s="99" t="s">
        <v>3210</v>
      </c>
      <c r="B994" s="99">
        <v>7.84731728E8</v>
      </c>
      <c r="C994" s="99" t="s">
        <v>3157</v>
      </c>
    </row>
    <row r="995">
      <c r="A995" s="99" t="s">
        <v>3211</v>
      </c>
      <c r="B995" s="99">
        <v>7.83721239E8</v>
      </c>
      <c r="C995" s="99" t="s">
        <v>3157</v>
      </c>
    </row>
    <row r="996">
      <c r="A996" s="99" t="s">
        <v>3212</v>
      </c>
      <c r="B996" s="99">
        <v>7.06137036E8</v>
      </c>
      <c r="C996" s="99" t="s">
        <v>3157</v>
      </c>
    </row>
    <row r="997">
      <c r="A997" s="99" t="s">
        <v>3213</v>
      </c>
      <c r="B997" s="99">
        <v>7.85236045E8</v>
      </c>
      <c r="C997" s="99" t="s">
        <v>3157</v>
      </c>
    </row>
    <row r="998">
      <c r="A998" s="99" t="s">
        <v>3214</v>
      </c>
      <c r="B998" s="99">
        <v>7.71849672E8</v>
      </c>
      <c r="C998" s="99" t="s">
        <v>3157</v>
      </c>
    </row>
    <row r="999">
      <c r="A999" s="99" t="s">
        <v>3215</v>
      </c>
      <c r="B999" s="99">
        <v>7.54008778E8</v>
      </c>
      <c r="C999" s="99" t="s">
        <v>3157</v>
      </c>
    </row>
    <row r="1000">
      <c r="A1000" s="99" t="s">
        <v>3216</v>
      </c>
      <c r="B1000" s="99">
        <v>7.74546714E8</v>
      </c>
      <c r="C1000" s="99" t="s">
        <v>3157</v>
      </c>
    </row>
  </sheetData>
  <drawing r:id="rId1"/>
</worksheet>
</file>